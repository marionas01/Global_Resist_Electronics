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gleich" sheetId="1" state="visible" r:id="rId3"/>
    <sheet name="Boxplot manuell" sheetId="2" state="visible" r:id="rId4"/>
    <sheet name="Boxplot" sheetId="3" state="visible" r:id="rId5"/>
    <sheet name="Tabelle1" sheetId="4" state="visible" r:id="rId6"/>
    <sheet name="Plateaus" sheetId="5" state="visible" r:id="rId7"/>
    <sheet name="Diagramm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<sst xmlns="http://schemas.openxmlformats.org/spreadsheetml/2006/main" count="276" uniqueCount="82">
  <si>
    <t xml:space="preserve">Vergleich manuelle Messung (Waage) vs. Flowsensor (Plateau-Mittelwerte)</t>
  </si>
  <si>
    <t xml:space="preserve">Manuell: MW/min [ml] aus Tabelle1 Zeile 10 (Formel unverändert übernommen), umgerechnet ×1000 in µl/min. Sensor: Plateau-MW aus Blatt "Plateaus".</t>
  </si>
  <si>
    <t xml:space="preserve">Kanal</t>
  </si>
  <si>
    <t xml:space="preserve">Datei</t>
  </si>
  <si>
    <t xml:space="preserve">Soll-Flussrate [µl/min]</t>
  </si>
  <si>
    <t xml:space="preserve">Manuell MW/min [ml/min]</t>
  </si>
  <si>
    <t xml:space="preserve">Manuell [µl/min]</t>
  </si>
  <si>
    <t xml:space="preserve">Sensor Plateau-MW [µl/min]</t>
  </si>
  <si>
    <t xml:space="preserve">Sensor Std-Abw. [µl/min]</t>
  </si>
  <si>
    <t xml:space="preserve">Abweichung Sensor − Manuell [µl/min]</t>
  </si>
  <si>
    <t xml:space="preserve">Rel. Abweichung [%]</t>
  </si>
  <si>
    <t xml:space="preserve">Faktor Manuell/Sensor</t>
  </si>
  <si>
    <t xml:space="preserve">Channel 1</t>
  </si>
  <si>
    <t xml:space="preserve">#027</t>
  </si>
  <si>
    <t xml:space="preserve">Channel 2</t>
  </si>
  <si>
    <t xml:space="preserve">#028</t>
  </si>
  <si>
    <t xml:space="preserve">Channel 3</t>
  </si>
  <si>
    <t xml:space="preserve">#029</t>
  </si>
  <si>
    <t xml:space="preserve">Channel 4</t>
  </si>
  <si>
    <t xml:space="preserve">#031</t>
  </si>
  <si>
    <t xml:space="preserve">Channel 5</t>
  </si>
  <si>
    <t xml:space="preserve">#032</t>
  </si>
  <si>
    <t xml:space="preserve">Channel 6</t>
  </si>
  <si>
    <t xml:space="preserve">#034</t>
  </si>
  <si>
    <t xml:space="preserve">Channel 7</t>
  </si>
  <si>
    <t xml:space="preserve">#035</t>
  </si>
  <si>
    <t xml:space="preserve">Mittlere rel. Abweichung je Kanal</t>
  </si>
  <si>
    <t xml:space="preserve">Ø rel. Abw. [%]</t>
  </si>
  <si>
    <t xml:space="preserve">Ø Faktor Manuell/Sensor</t>
  </si>
  <si>
    <t xml:space="preserve">Hinweise:</t>
  </si>
  <si>
    <t xml:space="preserve">• Channel 0 enthält keine manuellen Messwerte und ist keiner flowlog-Datei zugeordnet → nicht ausgewertet.</t>
  </si>
  <si>
    <t xml:space="preserve">• Channel 1 (#027), höchste Stufe: Sensorsignal fällt im Plateau stark ab (≈1206 → 924 µl/min, s. Drift im Blatt "Plateaus"); Plateau-MW dort nur bedingt aussagekräftig.</t>
  </si>
  <si>
    <t xml:space="preserve">• Channel 2 höchste Stufe ist laut Tabelle1 1500 µl/min, Channel 5 höchste Stufe laut Kopf 2000 µl/min (Messwerte entsprechen ≈2 ml/min).</t>
  </si>
  <si>
    <t xml:space="preserve">• Tabelle1 AY4 = 2,2 (vermutlich Tippfehler für 0,22) – beeinflusst MW/min nicht, da sich der Mittelwert der Differenzen auf (Endwert − Startwert)/5 reduziert.</t>
  </si>
  <si>
    <t xml:space="preserve">• Tabelle1 Zeile 10 rechnet g × 0,997. Für g → ml wäre g ÷ 0,997 physikalisch korrekt (Unterschied ≈ 0,6 %); Formel wurde unverändert übernommen.</t>
  </si>
  <si>
    <t xml:space="preserve">Manuelle Messung: Abweichung der Kanäle vom Mittel aller Kanäle je Flussrate</t>
  </si>
  <si>
    <t xml:space="preserve">MW/min je Kanal (µl/min, wie Tabelle1 Z.10 ×1000) und Abweichung vom kanalübergreifenden Mittel. Ch2 1500 µl/min ausgeschlossen; AY4 als 0,22 gewertet.</t>
  </si>
  <si>
    <t xml:space="preserve">250 µl/min
MW/min</t>
  </si>
  <si>
    <t xml:space="preserve">500 µl/min
MW/min</t>
  </si>
  <si>
    <t xml:space="preserve">750 µl/min
MW/min</t>
  </si>
  <si>
    <t xml:space="preserve">1000 µl/min
MW/min</t>
  </si>
  <si>
    <t xml:space="preserve">2000 µl/min
MW/min</t>
  </si>
  <si>
    <t xml:space="preserve">250 µl/min
Abw. [%]</t>
  </si>
  <si>
    <t xml:space="preserve">500 µl/min
Abw. [%]</t>
  </si>
  <si>
    <t xml:space="preserve">750 µl/min
Abw. [%]</t>
  </si>
  <si>
    <t xml:space="preserve">1000 µl/min
Abw. [%]</t>
  </si>
  <si>
    <t xml:space="preserve">2000 µl/min
Abw. [%]</t>
  </si>
  <si>
    <t xml:space="preserve">Mittel</t>
  </si>
  <si>
    <t xml:space="preserve">VK (Std/MW)</t>
  </si>
  <si>
    <t xml:space="preserve">Boxplot: rel. Abweichung Sensor vs. manuell je Kanal (Daten aus Blatt "Vergleich", Spalte I)</t>
  </si>
  <si>
    <t xml:space="preserve">Channel: 0</t>
  </si>
  <si>
    <t xml:space="preserve">V-Flow [ul/min]</t>
  </si>
  <si>
    <t xml:space="preserve">Channel: 1</t>
  </si>
  <si>
    <t xml:space="preserve">Channel: 2</t>
  </si>
  <si>
    <t xml:space="preserve">Channel: 3</t>
  </si>
  <si>
    <t xml:space="preserve">Channel: 4</t>
  </si>
  <si>
    <t xml:space="preserve">Channel: 5</t>
  </si>
  <si>
    <t xml:space="preserve">Channel: 6</t>
  </si>
  <si>
    <t xml:space="preserve">Channel: 7</t>
  </si>
  <si>
    <t xml:space="preserve">Zeit [min]</t>
  </si>
  <si>
    <t xml:space="preserve">ΜW/min</t>
  </si>
  <si>
    <t xml:space="preserve">[g]</t>
  </si>
  <si>
    <t xml:space="preserve">MW/min</t>
  </si>
  <si>
    <t xml:space="preserve">[ml]</t>
  </si>
  <si>
    <t xml:space="preserve">Plateau #</t>
  </si>
  <si>
    <t xml:space="preserve">Start [min]</t>
  </si>
  <si>
    <t xml:space="preserve">Ende [min]</t>
  </si>
  <si>
    <t xml:space="preserve">n Werte</t>
  </si>
  <si>
    <t xml:space="preserve">Plateau-MW [µl/min]</t>
  </si>
  <si>
    <t xml:space="preserve">Std-Abw. [µl/min]</t>
  </si>
  <si>
    <t xml:space="preserve">Min [µl/min]</t>
  </si>
  <si>
    <t xml:space="preserve">Max [µl/min]</t>
  </si>
  <si>
    <t xml:space="preserve">MW 1. Minute [µl/min]</t>
  </si>
  <si>
    <t xml:space="preserve">MW letzte Minute [µl/min]</t>
  </si>
  <si>
    <t xml:space="preserve">Drift [%]</t>
  </si>
  <si>
    <t xml:space="preserve">Methode Plateau-Erkennung (automatisch aus Spalte chX_flow_mean_ulmin):</t>
  </si>
  <si>
    <t xml:space="preserve">• Glättung mit gleitendem Median (11 Werte ≈ 5,5 s) nur zur Erkennung, Mittelwerte aus Rohdaten</t>
  </si>
  <si>
    <t xml:space="preserve">• Plateau = zusammenhängender Bereich &gt; 100 µl/min mit Dauer ≥ 120 s (kurze Spikes werden ignoriert)</t>
  </si>
  <si>
    <t xml:space="preserve">• Einschwingen verworfen: erste 30 s nach Anstieg und letzte 15 s vor Abfall</t>
  </si>
  <si>
    <t xml:space="preserve">• Zuordnung Plateau → Flussrate in aufsteigender Reihenfolge (je Datei genau 5 Plateaus gefunden)</t>
  </si>
  <si>
    <t xml:space="preserve">• Drift = (MW letzte Minute − MW 1. Minute) / Plateau-MW</t>
  </si>
  <si>
    <t xml:space="preserve">Erkannte Plateaus (orange) mit Plateau-Mittelwert (rot)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</si>
</sst>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.0000"/>
    <numFmt numFmtId="167" formatCode="0.0"/>
    <numFmt numFmtId="168" formatCode="\+0.0;\-0.0;0.0"/>
    <numFmt numFmtId="169" formatCode="\+0.0%;\-0.0%;0.0%"/>
    <numFmt numFmtId="170" formatCode="0.000"/>
    <numFmt numFmtId="171" formatCode="\+0.0%;\-0.0%"/>
    <numFmt numFmtId="172" formatCode="\+0.00%;\-0.00%"/>
    <numFmt numFmtId="173" formatCode="0.00%"/>
    <numFmt numFmtId="174" formatCode="General"/>
    <numFmt numFmtId="175" formatCode="0.00"/>
    <numFmt numFmtId="176" formatCode="0.0%"/>
  </numFmts>
  <fonts count="1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8E8E8"/>
      </patternFill>
    </fill>
    <fill>
      <patternFill patternType="solid">
        <fgColor theme="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16</xdr:col>
      <xdr:colOff>386280</xdr:colOff>
      <xdr:row>52</xdr:row>
      <xdr:rowOff>133200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048120"/>
          <a:ext cx="17335080" cy="718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11</xdr:col>
      <xdr:colOff>355680</xdr:colOff>
      <xdr:row>31</xdr:row>
      <xdr:rowOff>132480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380880"/>
          <a:ext cx="9429120" cy="5657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6120</xdr:colOff>
      <xdr:row>89</xdr:row>
      <xdr:rowOff>189000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9904680" cy="1676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10" min="9" style="1" width="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6" t="s">
        <v>13</v>
      </c>
      <c r="C5" s="7" t="n">
        <f aca="false">Tabelle1!K2</f>
        <v>250</v>
      </c>
      <c r="D5" s="8" t="n">
        <f aca="false">Tabelle1!K10</f>
        <v>0.243268</v>
      </c>
      <c r="E5" s="9" t="n">
        <f aca="false">D5*1000</f>
        <v>243.268</v>
      </c>
      <c r="F5" s="9" t="n">
        <f aca="false">Plateaus!G2</f>
        <v>229.83280876494</v>
      </c>
      <c r="G5" s="9" t="n">
        <f aca="false">Plateaus!H2</f>
        <v>6.97537303814215</v>
      </c>
      <c r="H5" s="10" t="n">
        <f aca="false">F5-E5</f>
        <v>-13.43519123506</v>
      </c>
      <c r="I5" s="11" t="n">
        <f aca="false">IF(E5=0,"",H5/E5)</f>
        <v>-0.055227942989049</v>
      </c>
      <c r="J5" s="12" t="n">
        <f aca="false">IF(F5=0,"",E5/F5)</f>
        <v>1.05845636794528</v>
      </c>
    </row>
    <row r="6" customFormat="false" ht="15" hidden="false" customHeight="true" outlineLevel="0" collapsed="false">
      <c r="A6" s="5" t="s">
        <v>12</v>
      </c>
      <c r="B6" s="6" t="s">
        <v>13</v>
      </c>
      <c r="C6" s="7" t="n">
        <f aca="false">Tabelle1!L2</f>
        <v>500</v>
      </c>
      <c r="D6" s="8" t="n">
        <f aca="false">Tabelle1!L10</f>
        <v>0.482548</v>
      </c>
      <c r="E6" s="9" t="n">
        <f aca="false">D6*1000</f>
        <v>482.548</v>
      </c>
      <c r="F6" s="9" t="n">
        <f aca="false">Plateaus!G3</f>
        <v>445.731048543689</v>
      </c>
      <c r="G6" s="9" t="n">
        <f aca="false">Plateaus!H3</f>
        <v>14.1553439767726</v>
      </c>
      <c r="H6" s="10" t="n">
        <f aca="false">F6-E6</f>
        <v>-36.816951456311</v>
      </c>
      <c r="I6" s="11" t="n">
        <f aca="false">IF(E6=0,"",H6/E6)</f>
        <v>-0.0762969724386196</v>
      </c>
      <c r="J6" s="12" t="n">
        <f aca="false">IF(F6=0,"",E6/F6)</f>
        <v>1.08259902821803</v>
      </c>
    </row>
    <row r="7" customFormat="false" ht="15" hidden="false" customHeight="true" outlineLevel="0" collapsed="false">
      <c r="A7" s="5" t="s">
        <v>12</v>
      </c>
      <c r="B7" s="6" t="s">
        <v>13</v>
      </c>
      <c r="C7" s="7" t="n">
        <f aca="false">Tabelle1!M2</f>
        <v>750</v>
      </c>
      <c r="D7" s="8" t="n">
        <f aca="false">Tabelle1!M10</f>
        <v>0.71784</v>
      </c>
      <c r="E7" s="9" t="n">
        <f aca="false">D7*1000</f>
        <v>717.84</v>
      </c>
      <c r="F7" s="9" t="n">
        <f aca="false">Plateaus!G4</f>
        <v>645.340423076923</v>
      </c>
      <c r="G7" s="9" t="n">
        <f aca="false">Plateaus!H4</f>
        <v>16.9847418722823</v>
      </c>
      <c r="H7" s="10" t="n">
        <f aca="false">F7-E7</f>
        <v>-72.4995769230769</v>
      </c>
      <c r="I7" s="11" t="n">
        <f aca="false">IF(E7=0,"",H7/E7)</f>
        <v>-0.100996847379746</v>
      </c>
      <c r="J7" s="12" t="n">
        <f aca="false">IF(F7=0,"",E7/F7)</f>
        <v>1.11234315150662</v>
      </c>
    </row>
    <row r="8" customFormat="false" ht="15" hidden="false" customHeight="true" outlineLevel="0" collapsed="false">
      <c r="A8" s="5" t="s">
        <v>12</v>
      </c>
      <c r="B8" s="6" t="s">
        <v>13</v>
      </c>
      <c r="C8" s="7" t="n">
        <f aca="false">Tabelle1!N2</f>
        <v>1000</v>
      </c>
      <c r="D8" s="8" t="n">
        <f aca="false">Tabelle1!N10</f>
        <v>0.97706</v>
      </c>
      <c r="E8" s="9" t="n">
        <f aca="false">D8*1000</f>
        <v>977.06</v>
      </c>
      <c r="F8" s="9" t="n">
        <f aca="false">Plateaus!G5</f>
        <v>839.301812977099</v>
      </c>
      <c r="G8" s="9" t="n">
        <f aca="false">Plateaus!H5</f>
        <v>19.6634263180489</v>
      </c>
      <c r="H8" s="10" t="n">
        <f aca="false">F8-E8</f>
        <v>-137.758187022901</v>
      </c>
      <c r="I8" s="11" t="n">
        <f aca="false">IF(E8=0,"",H8/E8)</f>
        <v>-0.140992556263588</v>
      </c>
      <c r="J8" s="12" t="n">
        <f aca="false">IF(F8=0,"",E8/F8)</f>
        <v>1.16413426599694</v>
      </c>
    </row>
    <row r="9" customFormat="false" ht="15" hidden="false" customHeight="true" outlineLevel="0" collapsed="false">
      <c r="A9" s="5" t="s">
        <v>12</v>
      </c>
      <c r="B9" s="6" t="s">
        <v>13</v>
      </c>
      <c r="C9" s="7" t="n">
        <f aca="false">Tabelle1!O2</f>
        <v>2000</v>
      </c>
      <c r="D9" s="8" t="n">
        <f aca="false">Tabelle1!O10</f>
        <v>1.992006</v>
      </c>
      <c r="E9" s="9" t="n">
        <f aca="false">D9*1000</f>
        <v>1992.006</v>
      </c>
      <c r="F9" s="9" t="n">
        <f aca="false">Plateaus!G6</f>
        <v>1048.43137864078</v>
      </c>
      <c r="G9" s="9" t="n">
        <f aca="false">Plateaus!H6</f>
        <v>109.996033714496</v>
      </c>
      <c r="H9" s="10" t="n">
        <f aca="false">F9-E9</f>
        <v>-943.57462135922</v>
      </c>
      <c r="I9" s="11" t="n">
        <f aca="false">IF(E9=0,"",H9/E9)</f>
        <v>-0.473680612086118</v>
      </c>
      <c r="J9" s="12" t="n">
        <f aca="false">IF(F9=0,"",E9/F9)</f>
        <v>1.8999870097197</v>
      </c>
    </row>
    <row r="10" customFormat="false" ht="15" hidden="false" customHeight="true" outlineLevel="0" collapsed="false">
      <c r="A10" s="13" t="s">
        <v>14</v>
      </c>
      <c r="B10" s="14" t="s">
        <v>15</v>
      </c>
      <c r="C10" s="15" t="n">
        <f aca="false">Tabelle1!S2</f>
        <v>250</v>
      </c>
      <c r="D10" s="16" t="n">
        <f aca="false">Tabelle1!S10</f>
        <v>0.2330986</v>
      </c>
      <c r="E10" s="17" t="n">
        <f aca="false">D10*1000</f>
        <v>233.0986</v>
      </c>
      <c r="F10" s="17" t="n">
        <f aca="false">Plateaus!G7</f>
        <v>250.293280632411</v>
      </c>
      <c r="G10" s="17" t="n">
        <f aca="false">Plateaus!H7</f>
        <v>9.62633450222941</v>
      </c>
      <c r="H10" s="18" t="n">
        <f aca="false">F10-E10</f>
        <v>17.194680632411</v>
      </c>
      <c r="I10" s="19" t="n">
        <f aca="false">IF(E10=0,"",H10/E10)</f>
        <v>0.0737656967155144</v>
      </c>
      <c r="J10" s="20" t="n">
        <f aca="false">IF(F10=0,"",E10/F10)</f>
        <v>0.931301868795816</v>
      </c>
    </row>
    <row r="11" customFormat="false" ht="15" hidden="false" customHeight="true" outlineLevel="0" collapsed="false">
      <c r="A11" s="13" t="s">
        <v>14</v>
      </c>
      <c r="B11" s="14" t="s">
        <v>15</v>
      </c>
      <c r="C11" s="15" t="n">
        <f aca="false">Tabelle1!T2</f>
        <v>500</v>
      </c>
      <c r="D11" s="16" t="n">
        <f aca="false">Tabelle1!T10</f>
        <v>0.4843426</v>
      </c>
      <c r="E11" s="17" t="n">
        <f aca="false">D11*1000</f>
        <v>484.3426</v>
      </c>
      <c r="F11" s="17" t="n">
        <f aca="false">Plateaus!G8</f>
        <v>494.608333333333</v>
      </c>
      <c r="G11" s="17" t="n">
        <f aca="false">Plateaus!H8</f>
        <v>9.42327753740309</v>
      </c>
      <c r="H11" s="18" t="n">
        <f aca="false">F11-E11</f>
        <v>10.2657333333331</v>
      </c>
      <c r="I11" s="19" t="n">
        <f aca="false">IF(E11=0,"",H11/E11)</f>
        <v>0.0211951897960928</v>
      </c>
      <c r="J11" s="20" t="n">
        <f aca="false">IF(F11=0,"",E11/F11)</f>
        <v>0.979244722254984</v>
      </c>
    </row>
    <row r="12" customFormat="false" ht="15" hidden="false" customHeight="true" outlineLevel="0" collapsed="false">
      <c r="A12" s="13" t="s">
        <v>14</v>
      </c>
      <c r="B12" s="14" t="s">
        <v>15</v>
      </c>
      <c r="C12" s="15" t="n">
        <f aca="false">Tabelle1!U2</f>
        <v>750</v>
      </c>
      <c r="D12" s="16" t="n">
        <f aca="false">Tabelle1!U10</f>
        <v>0.7371818</v>
      </c>
      <c r="E12" s="17" t="n">
        <f aca="false">D12*1000</f>
        <v>737.1818</v>
      </c>
      <c r="F12" s="17" t="n">
        <f aca="false">Plateaus!G9</f>
        <v>756.493764478765</v>
      </c>
      <c r="G12" s="17" t="n">
        <f aca="false">Plateaus!H9</f>
        <v>15.8007180724167</v>
      </c>
      <c r="H12" s="18" t="n">
        <f aca="false">F12-E12</f>
        <v>19.3119644787649</v>
      </c>
      <c r="I12" s="19" t="n">
        <f aca="false">IF(E12=0,"",H12/E12)</f>
        <v>0.0261970174504646</v>
      </c>
      <c r="J12" s="20" t="n">
        <f aca="false">IF(F12=0,"",E12/F12)</f>
        <v>0.974471746648076</v>
      </c>
    </row>
    <row r="13" customFormat="false" ht="15" hidden="false" customHeight="true" outlineLevel="0" collapsed="false">
      <c r="A13" s="13" t="s">
        <v>14</v>
      </c>
      <c r="B13" s="14" t="s">
        <v>15</v>
      </c>
      <c r="C13" s="15" t="n">
        <f aca="false">Tabelle1!V2</f>
        <v>1000</v>
      </c>
      <c r="D13" s="16" t="n">
        <f aca="false">Tabelle1!V10</f>
        <v>0.989024</v>
      </c>
      <c r="E13" s="17" t="n">
        <f aca="false">D13*1000</f>
        <v>989.024</v>
      </c>
      <c r="F13" s="17" t="n">
        <f aca="false">Plateaus!G10</f>
        <v>1009.40969171484</v>
      </c>
      <c r="G13" s="17" t="n">
        <f aca="false">Plateaus!H10</f>
        <v>18.0396912214216</v>
      </c>
      <c r="H13" s="18" t="n">
        <f aca="false">F13-E13</f>
        <v>20.3856917148401</v>
      </c>
      <c r="I13" s="19" t="n">
        <f aca="false">IF(E13=0,"",H13/E13)</f>
        <v>0.0206119282391934</v>
      </c>
      <c r="J13" s="20" t="n">
        <f aca="false">IF(F13=0,"",E13/F13)</f>
        <v>0.979804343189723</v>
      </c>
    </row>
    <row r="14" customFormat="false" ht="15" hidden="false" customHeight="true" outlineLevel="0" collapsed="false">
      <c r="A14" s="13" t="s">
        <v>14</v>
      </c>
      <c r="B14" s="14" t="s">
        <v>15</v>
      </c>
      <c r="C14" s="15" t="n">
        <f aca="false">Tabelle1!W2</f>
        <v>1500</v>
      </c>
      <c r="D14" s="16" t="n">
        <f aca="false">Tabelle1!W10</f>
        <v>1.507464</v>
      </c>
      <c r="E14" s="17" t="n">
        <f aca="false">D14*1000</f>
        <v>1507.464</v>
      </c>
      <c r="F14" s="17" t="n">
        <f aca="false">Plateaus!G11</f>
        <v>1533.7540704501</v>
      </c>
      <c r="G14" s="17" t="n">
        <f aca="false">Plateaus!H11</f>
        <v>34.0960699285918</v>
      </c>
      <c r="H14" s="18" t="n">
        <f aca="false">F14-E14</f>
        <v>26.2900704501001</v>
      </c>
      <c r="I14" s="19" t="n">
        <f aca="false">IF(E14=0,"",H14/E14)</f>
        <v>0.0174399325291351</v>
      </c>
      <c r="J14" s="20" t="n">
        <f aca="false">IF(F14=0,"",E14/F14)</f>
        <v>0.982859005262568</v>
      </c>
    </row>
    <row r="15" customFormat="false" ht="15" hidden="false" customHeight="true" outlineLevel="0" collapsed="false">
      <c r="A15" s="5" t="s">
        <v>16</v>
      </c>
      <c r="B15" s="6" t="s">
        <v>17</v>
      </c>
      <c r="C15" s="7" t="n">
        <f aca="false">Tabelle1!AA2</f>
        <v>250</v>
      </c>
      <c r="D15" s="8" t="n">
        <f aca="false">Tabelle1!AA10</f>
        <v>0.236289</v>
      </c>
      <c r="E15" s="9" t="n">
        <f aca="false">D15*1000</f>
        <v>236.289</v>
      </c>
      <c r="F15" s="9" t="n">
        <f aca="false">Plateaus!G12</f>
        <v>238.197712031558</v>
      </c>
      <c r="G15" s="9" t="n">
        <f aca="false">Plateaus!H12</f>
        <v>24.9188148730192</v>
      </c>
      <c r="H15" s="10" t="n">
        <f aca="false">F15-E15</f>
        <v>1.908712031558</v>
      </c>
      <c r="I15" s="11" t="n">
        <f aca="false">IF(E15=0,"",H15/E15)</f>
        <v>0.00807787087658755</v>
      </c>
      <c r="J15" s="12" t="n">
        <f aca="false">IF(F15=0,"",E15/F15)</f>
        <v>0.991986858247803</v>
      </c>
    </row>
    <row r="16" customFormat="false" ht="15" hidden="false" customHeight="true" outlineLevel="0" collapsed="false">
      <c r="A16" s="5" t="s">
        <v>16</v>
      </c>
      <c r="B16" s="6" t="s">
        <v>17</v>
      </c>
      <c r="C16" s="7" t="n">
        <f aca="false">Tabelle1!AB2</f>
        <v>500</v>
      </c>
      <c r="D16" s="8" t="n">
        <f aca="false">Tabelle1!AB10</f>
        <v>0.4913216</v>
      </c>
      <c r="E16" s="9" t="n">
        <f aca="false">D16*1000</f>
        <v>491.3216</v>
      </c>
      <c r="F16" s="9" t="n">
        <f aca="false">Plateaus!G13</f>
        <v>467.422235294118</v>
      </c>
      <c r="G16" s="9" t="n">
        <f aca="false">Plateaus!H13</f>
        <v>14.5145395197053</v>
      </c>
      <c r="H16" s="10" t="n">
        <f aca="false">F16-E16</f>
        <v>-23.8993647058821</v>
      </c>
      <c r="I16" s="11" t="n">
        <f aca="false">IF(E16=0,"",H16/E16)</f>
        <v>-0.0486430165209144</v>
      </c>
      <c r="J16" s="12" t="n">
        <f aca="false">IF(F16=0,"",E16/F16)</f>
        <v>1.0511301408048</v>
      </c>
    </row>
    <row r="17" customFormat="false" ht="15" hidden="false" customHeight="true" outlineLevel="0" collapsed="false">
      <c r="A17" s="5" t="s">
        <v>16</v>
      </c>
      <c r="B17" s="6" t="s">
        <v>17</v>
      </c>
      <c r="C17" s="7" t="n">
        <f aca="false">Tabelle1!AC2</f>
        <v>750</v>
      </c>
      <c r="D17" s="8" t="n">
        <f aca="false">Tabelle1!AC10</f>
        <v>0.739774</v>
      </c>
      <c r="E17" s="9" t="n">
        <f aca="false">D17*1000</f>
        <v>739.774</v>
      </c>
      <c r="F17" s="9" t="n">
        <f aca="false">Plateaus!G14</f>
        <v>687.332124756335</v>
      </c>
      <c r="G17" s="9" t="n">
        <f aca="false">Plateaus!H14</f>
        <v>16.966639946157</v>
      </c>
      <c r="H17" s="10" t="n">
        <f aca="false">F17-E17</f>
        <v>-52.441875243665</v>
      </c>
      <c r="I17" s="11" t="n">
        <f aca="false">IF(E17=0,"",H17/E17)</f>
        <v>-0.0708890488766366</v>
      </c>
      <c r="J17" s="12" t="n">
        <f aca="false">IF(F17=0,"",E17/F17)</f>
        <v>1.07629772180699</v>
      </c>
    </row>
    <row r="18" customFormat="false" ht="15" hidden="false" customHeight="true" outlineLevel="0" collapsed="false">
      <c r="A18" s="5" t="s">
        <v>16</v>
      </c>
      <c r="B18" s="6" t="s">
        <v>17</v>
      </c>
      <c r="C18" s="7" t="n">
        <f aca="false">Tabelle1!AD2</f>
        <v>1000</v>
      </c>
      <c r="D18" s="8" t="n">
        <f aca="false">Tabelle1!AD10</f>
        <v>0.991018</v>
      </c>
      <c r="E18" s="9" t="n">
        <f aca="false">D18*1000</f>
        <v>991.018</v>
      </c>
      <c r="F18" s="9" t="n">
        <f aca="false">Plateaus!G15</f>
        <v>902.32685546875</v>
      </c>
      <c r="G18" s="9" t="n">
        <f aca="false">Plateaus!H15</f>
        <v>21.9023537162505</v>
      </c>
      <c r="H18" s="10" t="n">
        <f aca="false">F18-E18</f>
        <v>-88.6911445312497</v>
      </c>
      <c r="I18" s="11" t="n">
        <f aca="false">IF(E18=0,"",H18/E18)</f>
        <v>-0.0894949885181195</v>
      </c>
      <c r="J18" s="12" t="n">
        <f aca="false">IF(F18=0,"",E18/F18)</f>
        <v>1.09829159355473</v>
      </c>
    </row>
    <row r="19" customFormat="false" ht="15" hidden="false" customHeight="true" outlineLevel="0" collapsed="false">
      <c r="A19" s="5" t="s">
        <v>16</v>
      </c>
      <c r="B19" s="6" t="s">
        <v>17</v>
      </c>
      <c r="C19" s="7" t="n">
        <f aca="false">Tabelle1!AE2</f>
        <v>2000</v>
      </c>
      <c r="D19" s="8" t="n">
        <f aca="false">Tabelle1!AE10</f>
        <v>1.980042</v>
      </c>
      <c r="E19" s="9" t="n">
        <f aca="false">D19*1000</f>
        <v>1980.042</v>
      </c>
      <c r="F19" s="9" t="n">
        <f aca="false">Plateaus!G16</f>
        <v>1719.254</v>
      </c>
      <c r="G19" s="9" t="n">
        <f aca="false">Plateaus!H16</f>
        <v>37.7729060090609</v>
      </c>
      <c r="H19" s="10" t="n">
        <f aca="false">F19-E19</f>
        <v>-260.788</v>
      </c>
      <c r="I19" s="11" t="n">
        <f aca="false">IF(E19=0,"",H19/E19)</f>
        <v>-0.13170831729832</v>
      </c>
      <c r="J19" s="12" t="n">
        <f aca="false">IF(F19=0,"",E19/F19)</f>
        <v>1.15168671993783</v>
      </c>
    </row>
    <row r="20" customFormat="false" ht="15" hidden="false" customHeight="true" outlineLevel="0" collapsed="false">
      <c r="A20" s="13" t="s">
        <v>18</v>
      </c>
      <c r="B20" s="14" t="s">
        <v>19</v>
      </c>
      <c r="C20" s="15" t="n">
        <f aca="false">Tabelle1!AI2</f>
        <v>250</v>
      </c>
      <c r="D20" s="16" t="n">
        <f aca="false">Tabelle1!AI10</f>
        <v>0.23928</v>
      </c>
      <c r="E20" s="17" t="n">
        <f aca="false">D20*1000</f>
        <v>239.28</v>
      </c>
      <c r="F20" s="17" t="n">
        <f aca="false">Plateaus!G17</f>
        <v>225.830992063492</v>
      </c>
      <c r="G20" s="17" t="n">
        <f aca="false">Plateaus!H17</f>
        <v>22.1524806514723</v>
      </c>
      <c r="H20" s="18" t="n">
        <f aca="false">F20-E20</f>
        <v>-13.449007936508</v>
      </c>
      <c r="I20" s="19" t="n">
        <f aca="false">IF(E20=0,"",H20/E20)</f>
        <v>-0.0562061515233534</v>
      </c>
      <c r="J20" s="20" t="n">
        <f aca="false">IF(F20=0,"",E20/F20)</f>
        <v>1.05955342007587</v>
      </c>
    </row>
    <row r="21" customFormat="false" ht="15" hidden="false" customHeight="true" outlineLevel="0" collapsed="false">
      <c r="A21" s="13" t="s">
        <v>18</v>
      </c>
      <c r="B21" s="14" t="s">
        <v>19</v>
      </c>
      <c r="C21" s="15" t="n">
        <f aca="false">Tabelle1!AJ2</f>
        <v>500</v>
      </c>
      <c r="D21" s="16" t="n">
        <f aca="false">Tabelle1!AJ10</f>
        <v>0.48853</v>
      </c>
      <c r="E21" s="17" t="n">
        <f aca="false">D21*1000</f>
        <v>488.53</v>
      </c>
      <c r="F21" s="17" t="n">
        <f aca="false">Plateaus!G18</f>
        <v>418.244872298625</v>
      </c>
      <c r="G21" s="17" t="n">
        <f aca="false">Plateaus!H18</f>
        <v>14.0272291670073</v>
      </c>
      <c r="H21" s="18" t="n">
        <f aca="false">F21-E21</f>
        <v>-70.285127701375</v>
      </c>
      <c r="I21" s="19" t="n">
        <f aca="false">IF(E21=0,"",H21/E21)</f>
        <v>-0.143870648069464</v>
      </c>
      <c r="J21" s="20" t="n">
        <f aca="false">IF(F21=0,"",E21/F21)</f>
        <v>1.16804779294746</v>
      </c>
    </row>
    <row r="22" customFormat="false" ht="15" hidden="false" customHeight="true" outlineLevel="0" collapsed="false">
      <c r="A22" s="13" t="s">
        <v>18</v>
      </c>
      <c r="B22" s="14" t="s">
        <v>19</v>
      </c>
      <c r="C22" s="15" t="n">
        <f aca="false">Tabelle1!AK2</f>
        <v>750</v>
      </c>
      <c r="D22" s="16" t="n">
        <f aca="false">Tabelle1!AK10</f>
        <v>0.741768</v>
      </c>
      <c r="E22" s="17" t="n">
        <f aca="false">D22*1000</f>
        <v>741.768</v>
      </c>
      <c r="F22" s="17" t="n">
        <f aca="false">Plateaus!G19</f>
        <v>598.13231372549</v>
      </c>
      <c r="G22" s="17" t="n">
        <f aca="false">Plateaus!H19</f>
        <v>11.7335875652288</v>
      </c>
      <c r="H22" s="18" t="n">
        <f aca="false">F22-E22</f>
        <v>-143.63568627451</v>
      </c>
      <c r="I22" s="19" t="n">
        <f aca="false">IF(E22=0,"",H22/E22)</f>
        <v>-0.193639637021966</v>
      </c>
      <c r="J22" s="20" t="n">
        <f aca="false">IF(F22=0,"",E22/F22)</f>
        <v>1.24014032176237</v>
      </c>
    </row>
    <row r="23" customFormat="false" ht="15" hidden="false" customHeight="true" outlineLevel="0" collapsed="false">
      <c r="A23" s="13" t="s">
        <v>18</v>
      </c>
      <c r="B23" s="14" t="s">
        <v>19</v>
      </c>
      <c r="C23" s="15" t="n">
        <f aca="false">Tabelle1!AL2</f>
        <v>1000</v>
      </c>
      <c r="D23" s="16" t="n">
        <f aca="false">Tabelle1!AL10</f>
        <v>0.98703</v>
      </c>
      <c r="E23" s="17" t="n">
        <f aca="false">D23*1000</f>
        <v>987.03</v>
      </c>
      <c r="F23" s="17" t="n">
        <f aca="false">Plateaus!G20</f>
        <v>768.113045186641</v>
      </c>
      <c r="G23" s="17" t="n">
        <f aca="false">Plateaus!H20</f>
        <v>14.953769359957</v>
      </c>
      <c r="H23" s="18" t="n">
        <f aca="false">F23-E23</f>
        <v>-218.916954813359</v>
      </c>
      <c r="I23" s="19" t="n">
        <f aca="false">IF(E23=0,"",H23/E23)</f>
        <v>-0.221793618039329</v>
      </c>
      <c r="J23" s="20" t="n">
        <f aca="false">IF(F23=0,"",E23/F23)</f>
        <v>1.28500616697659</v>
      </c>
    </row>
    <row r="24" customFormat="false" ht="15" hidden="false" customHeight="true" outlineLevel="0" collapsed="false">
      <c r="A24" s="13" t="s">
        <v>18</v>
      </c>
      <c r="B24" s="14" t="s">
        <v>19</v>
      </c>
      <c r="C24" s="15" t="n">
        <f aca="false">Tabelle1!AM2</f>
        <v>2000</v>
      </c>
      <c r="D24" s="16" t="n">
        <f aca="false">Tabelle1!AM10</f>
        <v>1.992006</v>
      </c>
      <c r="E24" s="17" t="n">
        <f aca="false">D24*1000</f>
        <v>1992.006</v>
      </c>
      <c r="F24" s="17" t="n">
        <f aca="false">Plateaus!G21</f>
        <v>1346.0425</v>
      </c>
      <c r="G24" s="17" t="n">
        <f aca="false">Plateaus!H21</f>
        <v>23.8832913925535</v>
      </c>
      <c r="H24" s="18" t="n">
        <f aca="false">F24-E24</f>
        <v>-645.9635</v>
      </c>
      <c r="I24" s="19" t="n">
        <f aca="false">IF(E24=0,"",H24/E24)</f>
        <v>-0.324277888721219</v>
      </c>
      <c r="J24" s="20" t="n">
        <f aca="false">IF(F24=0,"",E24/F24)</f>
        <v>1.47989829444464</v>
      </c>
    </row>
    <row r="25" customFormat="false" ht="15" hidden="false" customHeight="true" outlineLevel="0" collapsed="false">
      <c r="A25" s="5" t="s">
        <v>20</v>
      </c>
      <c r="B25" s="6" t="s">
        <v>21</v>
      </c>
      <c r="C25" s="7" t="n">
        <f aca="false">Tabelle1!AQ2</f>
        <v>250</v>
      </c>
      <c r="D25" s="8" t="n">
        <f aca="false">Tabelle1!AQ10</f>
        <v>0.241274</v>
      </c>
      <c r="E25" s="9" t="n">
        <f aca="false">D25*1000</f>
        <v>241.274</v>
      </c>
      <c r="F25" s="9" t="n">
        <f aca="false">Plateaus!G22</f>
        <v>247.304067460318</v>
      </c>
      <c r="G25" s="9" t="n">
        <f aca="false">Plateaus!H22</f>
        <v>11.7759958328914</v>
      </c>
      <c r="H25" s="10" t="n">
        <f aca="false">F25-E25</f>
        <v>6.03006746031801</v>
      </c>
      <c r="I25" s="11" t="n">
        <f aca="false">IF(E25=0,"",H25/E25)</f>
        <v>0.0249926119694539</v>
      </c>
      <c r="J25" s="12" t="n">
        <f aca="false">IF(F25=0,"",E25/F25)</f>
        <v>0.97561678818208</v>
      </c>
    </row>
    <row r="26" customFormat="false" ht="15" hidden="false" customHeight="true" outlineLevel="0" collapsed="false">
      <c r="A26" s="5" t="s">
        <v>20</v>
      </c>
      <c r="B26" s="6" t="s">
        <v>21</v>
      </c>
      <c r="C26" s="7" t="n">
        <f aca="false">Tabelle1!AR2</f>
        <v>500</v>
      </c>
      <c r="D26" s="8" t="n">
        <f aca="false">Tabelle1!AR10</f>
        <v>0.48853</v>
      </c>
      <c r="E26" s="9" t="n">
        <f aca="false">D26*1000</f>
        <v>488.53</v>
      </c>
      <c r="F26" s="9" t="n">
        <f aca="false">Plateaus!G23</f>
        <v>497.30732421875</v>
      </c>
      <c r="G26" s="9" t="n">
        <f aca="false">Plateaus!H23</f>
        <v>15.136323765415</v>
      </c>
      <c r="H26" s="10" t="n">
        <f aca="false">F26-E26</f>
        <v>8.77732421874998</v>
      </c>
      <c r="I26" s="11" t="n">
        <f aca="false">IF(E26=0,"",H26/E26)</f>
        <v>0.0179668069898471</v>
      </c>
      <c r="J26" s="12" t="n">
        <f aca="false">IF(F26=0,"",E26/F26)</f>
        <v>0.982350301732357</v>
      </c>
    </row>
    <row r="27" customFormat="false" ht="15" hidden="false" customHeight="true" outlineLevel="0" collapsed="false">
      <c r="A27" s="5" t="s">
        <v>20</v>
      </c>
      <c r="B27" s="6" t="s">
        <v>21</v>
      </c>
      <c r="C27" s="7" t="n">
        <f aca="false">Tabelle1!AS2</f>
        <v>750</v>
      </c>
      <c r="D27" s="8" t="n">
        <f aca="false">Tabelle1!AS10</f>
        <v>0.735786</v>
      </c>
      <c r="E27" s="9" t="n">
        <f aca="false">D27*1000</f>
        <v>735.786</v>
      </c>
      <c r="F27" s="9" t="n">
        <f aca="false">Plateaus!G24</f>
        <v>747.279029126214</v>
      </c>
      <c r="G27" s="9" t="n">
        <f aca="false">Plateaus!H24</f>
        <v>19.1846976306661</v>
      </c>
      <c r="H27" s="10" t="n">
        <f aca="false">F27-E27</f>
        <v>11.4930291262142</v>
      </c>
      <c r="I27" s="11" t="n">
        <f aca="false">IF(E27=0,"",H27/E27)</f>
        <v>0.0156200704093503</v>
      </c>
      <c r="J27" s="12" t="n">
        <f aca="false">IF(F27=0,"",E27/F27)</f>
        <v>0.984620163716286</v>
      </c>
    </row>
    <row r="28" customFormat="false" ht="15" hidden="false" customHeight="true" outlineLevel="0" collapsed="false">
      <c r="A28" s="5" t="s">
        <v>20</v>
      </c>
      <c r="B28" s="6" t="s">
        <v>21</v>
      </c>
      <c r="C28" s="7" t="n">
        <f aca="false">Tabelle1!AT2</f>
        <v>1000</v>
      </c>
      <c r="D28" s="8" t="n">
        <f aca="false">Tabelle1!AT10</f>
        <v>0.983042</v>
      </c>
      <c r="E28" s="9" t="n">
        <f aca="false">D28*1000</f>
        <v>983.042</v>
      </c>
      <c r="F28" s="9" t="n">
        <f aca="false">Plateaus!G25</f>
        <v>997.292937743191</v>
      </c>
      <c r="G28" s="9" t="n">
        <f aca="false">Plateaus!H25</f>
        <v>25.174969098901</v>
      </c>
      <c r="H28" s="10" t="n">
        <f aca="false">F28-E28</f>
        <v>14.2509377431911</v>
      </c>
      <c r="I28" s="11" t="n">
        <f aca="false">IF(E28=0,"",H28/E28)</f>
        <v>0.0144967740373159</v>
      </c>
      <c r="J28" s="12" t="n">
        <f aca="false">IF(F28=0,"",E28/F28)</f>
        <v>0.985710379364121</v>
      </c>
    </row>
    <row r="29" customFormat="false" ht="15" hidden="false" customHeight="true" outlineLevel="0" collapsed="false">
      <c r="A29" s="5" t="s">
        <v>20</v>
      </c>
      <c r="B29" s="6" t="s">
        <v>21</v>
      </c>
      <c r="C29" s="7" t="n">
        <f aca="false">Tabelle1!AU2</f>
        <v>2000</v>
      </c>
      <c r="D29" s="8" t="n">
        <f aca="false">Tabelle1!AU10</f>
        <v>1.990012</v>
      </c>
      <c r="E29" s="9" t="n">
        <f aca="false">D29*1000</f>
        <v>1990.012</v>
      </c>
      <c r="F29" s="9" t="n">
        <f aca="false">Plateaus!G26</f>
        <v>2031.3463064833</v>
      </c>
      <c r="G29" s="9" t="n">
        <f aca="false">Plateaus!H26</f>
        <v>50.6178109050487</v>
      </c>
      <c r="H29" s="10" t="n">
        <f aca="false">F29-E29</f>
        <v>41.3343064833</v>
      </c>
      <c r="I29" s="11" t="n">
        <f aca="false">IF(E29=0,"",H29/E29)</f>
        <v>0.0207708830315094</v>
      </c>
      <c r="J29" s="12" t="n">
        <f aca="false">IF(F29=0,"",E29/F29)</f>
        <v>0.979651767721055</v>
      </c>
    </row>
    <row r="30" customFormat="false" ht="15" hidden="false" customHeight="true" outlineLevel="0" collapsed="false">
      <c r="A30" s="13" t="s">
        <v>22</v>
      </c>
      <c r="B30" s="14" t="s">
        <v>23</v>
      </c>
      <c r="C30" s="15" t="n">
        <f aca="false">Tabelle1!AY2</f>
        <v>250</v>
      </c>
      <c r="D30" s="16" t="n">
        <f aca="false">Tabelle1!AY10</f>
        <v>0.241274</v>
      </c>
      <c r="E30" s="17" t="n">
        <f aca="false">D30*1000</f>
        <v>241.274</v>
      </c>
      <c r="F30" s="17" t="n">
        <f aca="false">Plateaus!G27</f>
        <v>242.136011904762</v>
      </c>
      <c r="G30" s="17" t="n">
        <f aca="false">Plateaus!H27</f>
        <v>8.06574474787234</v>
      </c>
      <c r="H30" s="18" t="n">
        <f aca="false">F30-E30</f>
        <v>0.862011904761999</v>
      </c>
      <c r="I30" s="19" t="n">
        <f aca="false">IF(E30=0,"",H30/E30)</f>
        <v>0.00357275091705695</v>
      </c>
      <c r="J30" s="20" t="n">
        <f aca="false">IF(F30=0,"",E30/F30)</f>
        <v>0.996439968189858</v>
      </c>
    </row>
    <row r="31" customFormat="false" ht="15" hidden="false" customHeight="true" outlineLevel="0" collapsed="false">
      <c r="A31" s="13" t="s">
        <v>22</v>
      </c>
      <c r="B31" s="14" t="s">
        <v>23</v>
      </c>
      <c r="C31" s="15" t="n">
        <f aca="false">Tabelle1!AZ2</f>
        <v>500</v>
      </c>
      <c r="D31" s="16" t="n">
        <f aca="false">Tabelle1!AZ10</f>
        <v>0.491521</v>
      </c>
      <c r="E31" s="17" t="n">
        <f aca="false">D31*1000</f>
        <v>491.521</v>
      </c>
      <c r="F31" s="17" t="n">
        <f aca="false">Plateaus!G28</f>
        <v>477.425422396857</v>
      </c>
      <c r="G31" s="17" t="n">
        <f aca="false">Plateaus!H28</f>
        <v>12.06636718306</v>
      </c>
      <c r="H31" s="18" t="n">
        <f aca="false">F31-E31</f>
        <v>-14.0955776031429</v>
      </c>
      <c r="I31" s="19" t="n">
        <f aca="false">IF(E31=0,"",H31/E31)</f>
        <v>-0.0286774677036036</v>
      </c>
      <c r="J31" s="20" t="n">
        <f aca="false">IF(F31=0,"",E31/F31)</f>
        <v>1.02952414543067</v>
      </c>
    </row>
    <row r="32" customFormat="false" ht="15" hidden="false" customHeight="true" outlineLevel="0" collapsed="false">
      <c r="A32" s="13" t="s">
        <v>22</v>
      </c>
      <c r="B32" s="14" t="s">
        <v>23</v>
      </c>
      <c r="C32" s="15" t="n">
        <f aca="false">Tabelle1!BA2</f>
        <v>750</v>
      </c>
      <c r="D32" s="16" t="n">
        <f aca="false">Tabelle1!BA10</f>
        <v>0.735786</v>
      </c>
      <c r="E32" s="17" t="n">
        <f aca="false">D32*1000</f>
        <v>735.786</v>
      </c>
      <c r="F32" s="17" t="n">
        <f aca="false">Plateaus!G29</f>
        <v>712.821980392157</v>
      </c>
      <c r="G32" s="17" t="n">
        <f aca="false">Plateaus!H29</f>
        <v>17.5392257716124</v>
      </c>
      <c r="H32" s="18" t="n">
        <f aca="false">F32-E32</f>
        <v>-22.9640196078431</v>
      </c>
      <c r="I32" s="19" t="n">
        <f aca="false">IF(E32=0,"",H32/E32)</f>
        <v>-0.031210188299102</v>
      </c>
      <c r="J32" s="20" t="n">
        <f aca="false">IF(F32=0,"",E32/F32)</f>
        <v>1.03221564463432</v>
      </c>
    </row>
    <row r="33" customFormat="false" ht="15" hidden="false" customHeight="true" outlineLevel="0" collapsed="false">
      <c r="A33" s="13" t="s">
        <v>22</v>
      </c>
      <c r="B33" s="14" t="s">
        <v>23</v>
      </c>
      <c r="C33" s="15" t="n">
        <f aca="false">Tabelle1!BB2</f>
        <v>1000</v>
      </c>
      <c r="D33" s="16" t="n">
        <f aca="false">Tabelle1!BB10</f>
        <v>0.989024</v>
      </c>
      <c r="E33" s="17" t="n">
        <f aca="false">D33*1000</f>
        <v>989.024</v>
      </c>
      <c r="F33" s="17" t="n">
        <f aca="false">Plateaus!G30</f>
        <v>939.073870333988</v>
      </c>
      <c r="G33" s="17" t="n">
        <f aca="false">Plateaus!H30</f>
        <v>21.7905477176125</v>
      </c>
      <c r="H33" s="18" t="n">
        <f aca="false">F33-E33</f>
        <v>-49.9501296660122</v>
      </c>
      <c r="I33" s="19" t="n">
        <f aca="false">IF(E33=0,"",H33/E33)</f>
        <v>-0.0505044666924283</v>
      </c>
      <c r="J33" s="20" t="n">
        <f aca="false">IF(F33=0,"",E33/F33)</f>
        <v>1.05319084178995</v>
      </c>
    </row>
    <row r="34" customFormat="false" ht="15" hidden="false" customHeight="true" outlineLevel="0" collapsed="false">
      <c r="A34" s="13" t="s">
        <v>22</v>
      </c>
      <c r="B34" s="14" t="s">
        <v>23</v>
      </c>
      <c r="C34" s="15" t="n">
        <f aca="false">Tabelle1!BC2</f>
        <v>2000</v>
      </c>
      <c r="D34" s="16" t="n">
        <f aca="false">Tabelle1!BC10</f>
        <v>1.980042</v>
      </c>
      <c r="E34" s="17" t="n">
        <f aca="false">D34*1000</f>
        <v>1980.042</v>
      </c>
      <c r="F34" s="17" t="n">
        <f aca="false">Plateaus!G31</f>
        <v>1833.60120315582</v>
      </c>
      <c r="G34" s="17" t="n">
        <f aca="false">Plateaus!H31</f>
        <v>41.0698267623408</v>
      </c>
      <c r="H34" s="18" t="n">
        <f aca="false">F34-E34</f>
        <v>-146.44079684418</v>
      </c>
      <c r="I34" s="19" t="n">
        <f aca="false">IF(E34=0,"",H34/E34)</f>
        <v>-0.0739584295909785</v>
      </c>
      <c r="J34" s="20" t="n">
        <f aca="false">IF(F34=0,"",E34/F34)</f>
        <v>1.07986512911976</v>
      </c>
    </row>
    <row r="35" customFormat="false" ht="15" hidden="false" customHeight="true" outlineLevel="0" collapsed="false">
      <c r="A35" s="5" t="s">
        <v>24</v>
      </c>
      <c r="B35" s="6" t="s">
        <v>25</v>
      </c>
      <c r="C35" s="7" t="n">
        <f aca="false">Tabelle1!BG2</f>
        <v>250</v>
      </c>
      <c r="D35" s="8" t="n">
        <f aca="false">Tabelle1!BG10</f>
        <v>0.22931</v>
      </c>
      <c r="E35" s="9" t="n">
        <f aca="false">D35*1000</f>
        <v>229.31</v>
      </c>
      <c r="F35" s="9" t="n">
        <f aca="false">Plateaus!G32</f>
        <v>260.263841584158</v>
      </c>
      <c r="G35" s="9" t="n">
        <f aca="false">Plateaus!H32</f>
        <v>9.00628373530872</v>
      </c>
      <c r="H35" s="10" t="n">
        <f aca="false">F35-E35</f>
        <v>30.953841584158</v>
      </c>
      <c r="I35" s="11" t="n">
        <f aca="false">IF(E35=0,"",H35/E35)</f>
        <v>0.13498688057284</v>
      </c>
      <c r="J35" s="12" t="n">
        <f aca="false">IF(F35=0,"",E35/F35)</f>
        <v>0.881067452951781</v>
      </c>
    </row>
    <row r="36" customFormat="false" ht="15" hidden="false" customHeight="true" outlineLevel="0" collapsed="false">
      <c r="A36" s="5" t="s">
        <v>24</v>
      </c>
      <c r="B36" s="6" t="s">
        <v>25</v>
      </c>
      <c r="C36" s="7" t="n">
        <f aca="false">Tabelle1!BH2</f>
        <v>500</v>
      </c>
      <c r="D36" s="8" t="n">
        <f aca="false">Tabelle1!BH10</f>
        <v>0.486536</v>
      </c>
      <c r="E36" s="9" t="n">
        <f aca="false">D36*1000</f>
        <v>486.536</v>
      </c>
      <c r="F36" s="9" t="n">
        <f aca="false">Plateaus!G33</f>
        <v>523.970409356725</v>
      </c>
      <c r="G36" s="9" t="n">
        <f aca="false">Plateaus!H33</f>
        <v>16.3370838588711</v>
      </c>
      <c r="H36" s="10" t="n">
        <f aca="false">F36-E36</f>
        <v>37.4344093567249</v>
      </c>
      <c r="I36" s="11" t="n">
        <f aca="false">IF(E36=0,"",H36/E36)</f>
        <v>0.0769406772710034</v>
      </c>
      <c r="J36" s="12" t="n">
        <f aca="false">IF(F36=0,"",E36/F36)</f>
        <v>0.928556253009244</v>
      </c>
    </row>
    <row r="37" customFormat="false" ht="15" hidden="false" customHeight="true" outlineLevel="0" collapsed="false">
      <c r="A37" s="5" t="s">
        <v>24</v>
      </c>
      <c r="B37" s="6" t="s">
        <v>25</v>
      </c>
      <c r="C37" s="7" t="n">
        <f aca="false">Tabelle1!BI2</f>
        <v>750</v>
      </c>
      <c r="D37" s="8" t="n">
        <f aca="false">Tabelle1!BI10</f>
        <v>0.731798</v>
      </c>
      <c r="E37" s="9" t="n">
        <f aca="false">D37*1000</f>
        <v>731.798</v>
      </c>
      <c r="F37" s="9" t="n">
        <f aca="false">Plateaus!G34</f>
        <v>802.155988372093</v>
      </c>
      <c r="G37" s="9" t="n">
        <f aca="false">Plateaus!H34</f>
        <v>20.6217716977291</v>
      </c>
      <c r="H37" s="10" t="n">
        <f aca="false">F37-E37</f>
        <v>70.357988372093</v>
      </c>
      <c r="I37" s="11" t="n">
        <f aca="false">IF(E37=0,"",H37/E37)</f>
        <v>0.0961440019952132</v>
      </c>
      <c r="J37" s="12" t="n">
        <f aca="false">IF(F37=0,"",E37/F37)</f>
        <v>0.912288894688827</v>
      </c>
    </row>
    <row r="38" customFormat="false" ht="15" hidden="false" customHeight="true" outlineLevel="0" collapsed="false">
      <c r="A38" s="5" t="s">
        <v>24</v>
      </c>
      <c r="B38" s="6" t="s">
        <v>25</v>
      </c>
      <c r="C38" s="7" t="n">
        <f aca="false">Tabelle1!BJ2</f>
        <v>1000</v>
      </c>
      <c r="D38" s="8" t="n">
        <f aca="false">Tabelle1!BJ10</f>
        <v>0.983042</v>
      </c>
      <c r="E38" s="9" t="n">
        <f aca="false">D38*1000</f>
        <v>983.042</v>
      </c>
      <c r="F38" s="9" t="n">
        <f aca="false">Plateaus!G35</f>
        <v>1129.59095145631</v>
      </c>
      <c r="G38" s="9" t="n">
        <f aca="false">Plateaus!H35</f>
        <v>30.9606751337078</v>
      </c>
      <c r="H38" s="10" t="n">
        <f aca="false">F38-E38</f>
        <v>146.54895145631</v>
      </c>
      <c r="I38" s="11" t="n">
        <f aca="false">IF(E38=0,"",H38/E38)</f>
        <v>0.149076999208895</v>
      </c>
      <c r="J38" s="12" t="n">
        <f aca="false">IF(F38=0,"",E38/F38)</f>
        <v>0.870263699202465</v>
      </c>
    </row>
    <row r="39" customFormat="false" ht="15" hidden="false" customHeight="true" outlineLevel="0" collapsed="false">
      <c r="A39" s="5" t="s">
        <v>24</v>
      </c>
      <c r="B39" s="6" t="s">
        <v>25</v>
      </c>
      <c r="C39" s="7" t="n">
        <f aca="false">Tabelle1!BK2</f>
        <v>2000</v>
      </c>
      <c r="D39" s="8" t="n">
        <f aca="false">Tabelle1!BK10</f>
        <v>1.98403</v>
      </c>
      <c r="E39" s="9" t="n">
        <f aca="false">D39*1000</f>
        <v>1984.03</v>
      </c>
      <c r="F39" s="9" t="n">
        <f aca="false">Plateaus!G36</f>
        <v>2269.31485322896</v>
      </c>
      <c r="G39" s="9" t="n">
        <f aca="false">Plateaus!H36</f>
        <v>67.9314454253437</v>
      </c>
      <c r="H39" s="10" t="n">
        <f aca="false">F39-E39</f>
        <v>285.28485322896</v>
      </c>
      <c r="I39" s="11" t="n">
        <f aca="false">IF(E39=0,"",H39/E39)</f>
        <v>0.143790594511656</v>
      </c>
      <c r="J39" s="12" t="n">
        <f aca="false">IF(F39=0,"",E39/F39)</f>
        <v>0.874285909324995</v>
      </c>
    </row>
    <row r="41" customFormat="false" ht="15" hidden="false" customHeight="true" outlineLevel="0" collapsed="false">
      <c r="A41" s="21" t="s">
        <v>26</v>
      </c>
    </row>
    <row r="42" customFormat="false" ht="26.25" hidden="false" customHeight="true" outlineLevel="0" collapsed="false">
      <c r="A42" s="22" t="s">
        <v>2</v>
      </c>
      <c r="B42" s="22" t="s">
        <v>3</v>
      </c>
      <c r="C42" s="22" t="s">
        <v>27</v>
      </c>
      <c r="D42" s="22" t="s">
        <v>28</v>
      </c>
    </row>
    <row r="43" customFormat="false" ht="15" hidden="false" customHeight="true" outlineLevel="0" collapsed="false">
      <c r="A43" s="21" t="s">
        <v>12</v>
      </c>
      <c r="B43" s="23" t="str">
        <f aca="false">B5</f>
        <v>#027</v>
      </c>
      <c r="C43" s="24" t="n">
        <f aca="false">AVERAGE(I5:I9)</f>
        <v>-0.169438986231424</v>
      </c>
      <c r="D43" s="25" t="n">
        <f aca="false">AVERAGE(J5:J9)</f>
        <v>1.26350396467731</v>
      </c>
    </row>
    <row r="44" customFormat="false" ht="15" hidden="false" customHeight="true" outlineLevel="0" collapsed="false">
      <c r="A44" s="21" t="s">
        <v>14</v>
      </c>
      <c r="B44" s="23" t="str">
        <f aca="false">B10</f>
        <v>#028</v>
      </c>
      <c r="C44" s="24" t="n">
        <f aca="false">AVERAGE(I10:I14)</f>
        <v>0.0318419529460801</v>
      </c>
      <c r="D44" s="25" t="n">
        <f aca="false">AVERAGE(J10:J14)</f>
        <v>0.969536337230233</v>
      </c>
    </row>
    <row r="45" customFormat="false" ht="15" hidden="false" customHeight="true" outlineLevel="0" collapsed="false">
      <c r="A45" s="21" t="s">
        <v>16</v>
      </c>
      <c r="B45" s="23" t="str">
        <f aca="false">B15</f>
        <v>#029</v>
      </c>
      <c r="C45" s="24" t="n">
        <f aca="false">AVERAGE(I15:I19)</f>
        <v>-0.0665315000674806</v>
      </c>
      <c r="D45" s="25" t="n">
        <f aca="false">AVERAGE(J15:J19)</f>
        <v>1.07387860687043</v>
      </c>
    </row>
    <row r="46" customFormat="false" ht="15" hidden="false" customHeight="true" outlineLevel="0" collapsed="false">
      <c r="A46" s="21" t="s">
        <v>18</v>
      </c>
      <c r="B46" s="23" t="str">
        <f aca="false">B20</f>
        <v>#031</v>
      </c>
      <c r="C46" s="24" t="n">
        <f aca="false">AVERAGE(I20:I24)</f>
        <v>-0.187957588675066</v>
      </c>
      <c r="D46" s="25" t="n">
        <f aca="false">AVERAGE(J20:J24)</f>
        <v>1.24652919924139</v>
      </c>
    </row>
    <row r="47" customFormat="false" ht="15" hidden="false" customHeight="true" outlineLevel="0" collapsed="false">
      <c r="A47" s="21" t="s">
        <v>20</v>
      </c>
      <c r="B47" s="23" t="str">
        <f aca="false">B25</f>
        <v>#032</v>
      </c>
      <c r="C47" s="24" t="n">
        <f aca="false">AVERAGE(I25:I29)</f>
        <v>0.0187694292874953</v>
      </c>
      <c r="D47" s="25" t="n">
        <f aca="false">AVERAGE(J25:J29)</f>
        <v>0.98158988014318</v>
      </c>
    </row>
    <row r="48" customFormat="false" ht="15" hidden="false" customHeight="true" outlineLevel="0" collapsed="false">
      <c r="A48" s="21" t="s">
        <v>22</v>
      </c>
      <c r="B48" s="23" t="str">
        <f aca="false">B30</f>
        <v>#034</v>
      </c>
      <c r="C48" s="24" t="n">
        <f aca="false">AVERAGE(I30:I34)</f>
        <v>-0.0361555602738111</v>
      </c>
      <c r="D48" s="25" t="n">
        <f aca="false">AVERAGE(J30:J34)</f>
        <v>1.03824714583291</v>
      </c>
    </row>
    <row r="49" customFormat="false" ht="15" hidden="false" customHeight="true" outlineLevel="0" collapsed="false">
      <c r="A49" s="21" t="s">
        <v>24</v>
      </c>
      <c r="B49" s="23" t="str">
        <f aca="false">B35</f>
        <v>#035</v>
      </c>
      <c r="C49" s="24" t="n">
        <f aca="false">AVERAGE(I35:I39)</f>
        <v>0.120187830711921</v>
      </c>
      <c r="D49" s="25" t="n">
        <f aca="false">AVERAGE(J35:J39)</f>
        <v>0.893292441835462</v>
      </c>
    </row>
    <row r="51" customFormat="false" ht="15" hidden="false" customHeight="true" outlineLevel="0" collapsed="false">
      <c r="A51" s="26" t="s">
        <v>29</v>
      </c>
    </row>
    <row r="52" customFormat="false" ht="15" hidden="false" customHeight="true" outlineLevel="0" collapsed="false">
      <c r="A52" s="27" t="s">
        <v>30</v>
      </c>
    </row>
    <row r="53" customFormat="false" ht="15" hidden="false" customHeight="true" outlineLevel="0" collapsed="false">
      <c r="A53" s="27" t="s">
        <v>31</v>
      </c>
    </row>
    <row r="54" customFormat="false" ht="15" hidden="false" customHeight="true" outlineLevel="0" collapsed="false">
      <c r="A54" s="27" t="s">
        <v>32</v>
      </c>
    </row>
    <row r="55" customFormat="false" ht="15" hidden="false" customHeight="true" outlineLevel="0" collapsed="false">
      <c r="A55" s="27" t="s">
        <v>33</v>
      </c>
    </row>
    <row r="56" customFormat="false" ht="15" hidden="false" customHeight="true" outlineLevel="0" collapsed="false">
      <c r="A56" s="2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1" min="1" style="0" width="12"/>
  </cols>
  <sheetData>
    <row r="1" customFormat="false" ht="15" hidden="false" customHeight="false" outlineLevel="0" collapsed="false">
      <c r="A1" s="28" t="s">
        <v>35</v>
      </c>
    </row>
    <row r="2" customFormat="false" ht="15" hidden="false" customHeight="false" outlineLevel="0" collapsed="false">
      <c r="A2" s="29" t="s">
        <v>36</v>
      </c>
    </row>
    <row r="4" customFormat="false" ht="30" hidden="false" customHeight="true" outlineLevel="0" collapsed="false">
      <c r="A4" s="22" t="s">
        <v>2</v>
      </c>
      <c r="B4" s="22" t="s">
        <v>37</v>
      </c>
      <c r="C4" s="22" t="s">
        <v>38</v>
      </c>
      <c r="D4" s="22" t="s">
        <v>39</v>
      </c>
      <c r="E4" s="22" t="s">
        <v>40</v>
      </c>
      <c r="F4" s="22" t="s">
        <v>41</v>
      </c>
      <c r="G4" s="22" t="s">
        <v>42</v>
      </c>
      <c r="H4" s="22" t="s">
        <v>43</v>
      </c>
      <c r="I4" s="22" t="s">
        <v>44</v>
      </c>
      <c r="J4" s="22" t="s">
        <v>45</v>
      </c>
      <c r="K4" s="22" t="s">
        <v>46</v>
      </c>
    </row>
    <row r="5" customFormat="false" ht="15" hidden="false" customHeight="false" outlineLevel="0" collapsed="false">
      <c r="A5" s="30" t="s">
        <v>12</v>
      </c>
      <c r="B5" s="31" t="n">
        <v>243.27</v>
      </c>
      <c r="C5" s="31" t="n">
        <v>482.55</v>
      </c>
      <c r="D5" s="31" t="n">
        <v>717.84</v>
      </c>
      <c r="E5" s="31" t="n">
        <v>977.06</v>
      </c>
      <c r="F5" s="31" t="n">
        <v>1992.01</v>
      </c>
      <c r="G5" s="32" t="n">
        <v>0.0234899328859062</v>
      </c>
      <c r="H5" s="32" t="n">
        <v>-0.0103984110293257</v>
      </c>
      <c r="I5" s="32" t="n">
        <v>-0.0223842960778991</v>
      </c>
      <c r="J5" s="32" t="n">
        <v>-0.00867052023121384</v>
      </c>
      <c r="K5" s="32" t="n">
        <v>0.00284423623891605</v>
      </c>
    </row>
    <row r="6" customFormat="false" ht="15" hidden="false" customHeight="false" outlineLevel="0" collapsed="false">
      <c r="A6" s="30" t="s">
        <v>14</v>
      </c>
      <c r="B6" s="31" t="n">
        <v>233.1</v>
      </c>
      <c r="C6" s="31" t="n">
        <v>484.34</v>
      </c>
      <c r="D6" s="31" t="n">
        <v>737.18</v>
      </c>
      <c r="E6" s="31" t="n">
        <v>989.02</v>
      </c>
      <c r="F6" s="33"/>
      <c r="G6" s="32" t="n">
        <v>-0.0192953020134229</v>
      </c>
      <c r="H6" s="32" t="n">
        <v>-0.00671807454141848</v>
      </c>
      <c r="I6" s="32" t="n">
        <v>0.00395701594444664</v>
      </c>
      <c r="J6" s="32" t="n">
        <v>0.00346820809248549</v>
      </c>
      <c r="K6" s="33"/>
    </row>
    <row r="7" customFormat="false" ht="15" hidden="false" customHeight="false" outlineLevel="0" collapsed="false">
      <c r="A7" s="30" t="s">
        <v>16</v>
      </c>
      <c r="B7" s="31" t="n">
        <v>236.29</v>
      </c>
      <c r="C7" s="31" t="n">
        <v>491.32</v>
      </c>
      <c r="D7" s="31" t="n">
        <v>739.77</v>
      </c>
      <c r="E7" s="31" t="n">
        <v>991.02</v>
      </c>
      <c r="F7" s="31" t="n">
        <v>1980.04</v>
      </c>
      <c r="G7" s="32" t="n">
        <v>-0.00587248322147627</v>
      </c>
      <c r="H7" s="32" t="n">
        <v>0.00759434513377744</v>
      </c>
      <c r="I7" s="32" t="n">
        <v>0.00748729487527644</v>
      </c>
      <c r="J7" s="32" t="n">
        <v>0.00549132947976849</v>
      </c>
      <c r="K7" s="32" t="n">
        <v>-0.00317885226702352</v>
      </c>
    </row>
    <row r="8" customFormat="false" ht="15" hidden="false" customHeight="false" outlineLevel="0" collapsed="false">
      <c r="A8" s="30" t="s">
        <v>18</v>
      </c>
      <c r="B8" s="31" t="n">
        <v>239.28</v>
      </c>
      <c r="C8" s="31" t="n">
        <v>488.53</v>
      </c>
      <c r="D8" s="31" t="n">
        <v>741.77</v>
      </c>
      <c r="E8" s="31" t="n">
        <v>987.03</v>
      </c>
      <c r="F8" s="31" t="n">
        <v>1992.01</v>
      </c>
      <c r="G8" s="32" t="n">
        <v>0.00671140939597303</v>
      </c>
      <c r="H8" s="32" t="n">
        <v>0.00186937726369907</v>
      </c>
      <c r="I8" s="32" t="n">
        <v>0.0102028940528378</v>
      </c>
      <c r="J8" s="32" t="n">
        <v>0.00144508670520227</v>
      </c>
      <c r="K8" s="32" t="n">
        <v>0.00284423623891583</v>
      </c>
    </row>
    <row r="9" customFormat="false" ht="15" hidden="false" customHeight="false" outlineLevel="0" collapsed="false">
      <c r="A9" s="30" t="s">
        <v>20</v>
      </c>
      <c r="B9" s="31" t="n">
        <v>241.27</v>
      </c>
      <c r="C9" s="31" t="n">
        <v>488.53</v>
      </c>
      <c r="D9" s="31" t="n">
        <v>735.79</v>
      </c>
      <c r="E9" s="31" t="n">
        <v>983.04</v>
      </c>
      <c r="F9" s="31" t="n">
        <v>1990.01</v>
      </c>
      <c r="G9" s="32" t="n">
        <v>0.0151006711409396</v>
      </c>
      <c r="H9" s="32" t="n">
        <v>0.00186937726369907</v>
      </c>
      <c r="I9" s="32" t="n">
        <v>0.00205609652015326</v>
      </c>
      <c r="J9" s="32" t="n">
        <v>-0.00260115606936406</v>
      </c>
      <c r="K9" s="32" t="n">
        <v>0.00184038815459275</v>
      </c>
    </row>
    <row r="10" customFormat="false" ht="15" hidden="false" customHeight="false" outlineLevel="0" collapsed="false">
      <c r="A10" s="30" t="s">
        <v>22</v>
      </c>
      <c r="B10" s="31" t="n">
        <v>241.27</v>
      </c>
      <c r="C10" s="31" t="n">
        <v>491.52</v>
      </c>
      <c r="D10" s="31" t="n">
        <v>735.79</v>
      </c>
      <c r="E10" s="31" t="n">
        <v>989.02</v>
      </c>
      <c r="F10" s="31" t="n">
        <v>1980.04</v>
      </c>
      <c r="G10" s="32" t="n">
        <v>0.0151006711409396</v>
      </c>
      <c r="H10" s="32" t="n">
        <v>0.0080032714102114</v>
      </c>
      <c r="I10" s="32" t="n">
        <v>0.00205609652015371</v>
      </c>
      <c r="J10" s="32" t="n">
        <v>0.00346820809248571</v>
      </c>
      <c r="K10" s="32" t="n">
        <v>-0.00317885226702352</v>
      </c>
    </row>
    <row r="11" customFormat="false" ht="15" hidden="false" customHeight="false" outlineLevel="0" collapsed="false">
      <c r="A11" s="30" t="s">
        <v>24</v>
      </c>
      <c r="B11" s="31" t="n">
        <v>229.31</v>
      </c>
      <c r="C11" s="31" t="n">
        <v>486.54</v>
      </c>
      <c r="D11" s="31" t="n">
        <v>731.8</v>
      </c>
      <c r="E11" s="31" t="n">
        <v>983.04</v>
      </c>
      <c r="F11" s="31" t="n">
        <v>1984.03</v>
      </c>
      <c r="G11" s="32" t="n">
        <v>-0.035234899328859</v>
      </c>
      <c r="H11" s="32" t="n">
        <v>-0.00221988550064245</v>
      </c>
      <c r="I11" s="32" t="n">
        <v>-0.00337510183496914</v>
      </c>
      <c r="J11" s="32" t="n">
        <v>-0.00260115606936406</v>
      </c>
      <c r="K11" s="32" t="n">
        <v>-0.00117115609837715</v>
      </c>
    </row>
    <row r="12" customFormat="false" ht="15" hidden="false" customHeight="false" outlineLevel="0" collapsed="false">
      <c r="A12" s="30" t="s">
        <v>47</v>
      </c>
      <c r="B12" s="31" t="n">
        <f aca="false">AVERAGE(B5:B11)</f>
        <v>237.684285714286</v>
      </c>
      <c r="C12" s="31" t="n">
        <f aca="false">AVERAGE(C5:C11)</f>
        <v>487.618571428571</v>
      </c>
      <c r="D12" s="31" t="n">
        <f aca="false">AVERAGE(D5:D11)</f>
        <v>734.277142857143</v>
      </c>
      <c r="E12" s="31" t="n">
        <f aca="false">AVERAGE(E5:E11)</f>
        <v>985.604285714286</v>
      </c>
      <c r="F12" s="31" t="n">
        <f aca="false">AVERAGE(F5:F11)</f>
        <v>1986.35666666667</v>
      </c>
      <c r="G12" s="33"/>
      <c r="H12" s="33"/>
      <c r="I12" s="33"/>
      <c r="J12" s="33"/>
      <c r="K12" s="33"/>
    </row>
    <row r="13" customFormat="false" ht="15" hidden="false" customHeight="false" outlineLevel="0" collapsed="false">
      <c r="A13" s="30" t="s">
        <v>48</v>
      </c>
      <c r="B13" s="34" t="n">
        <f aca="false">STDEV(B5:B11)/B12</f>
        <v>0.0212143339477713</v>
      </c>
      <c r="C13" s="34" t="n">
        <f aca="false">STDEV(C5:C11)/C12</f>
        <v>0.00691339514209658</v>
      </c>
      <c r="D13" s="34" t="n">
        <f aca="false">STDEV(D5:D11)/D12</f>
        <v>0.01077573769371</v>
      </c>
      <c r="E13" s="34" t="n">
        <f aca="false">STDEV(E5:E11)/E12</f>
        <v>0.0049159164132536</v>
      </c>
      <c r="F13" s="34" t="n">
        <f aca="false">STDEV(F5:F11)/F12</f>
        <v>0.00286985024810752</v>
      </c>
      <c r="G13" s="33"/>
      <c r="H13" s="33"/>
      <c r="I13" s="33"/>
      <c r="J13" s="33"/>
      <c r="K13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sheetData>
    <row r="1" customFormat="false" ht="15" hidden="false" customHeight="true" outlineLevel="0" collapsed="false">
      <c r="A1" s="2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2"/>
  <sheetViews>
    <sheetView showFormulas="false" showGridLines="true" showRowColHeaders="true" showZeros="true" rightToLeft="false" tabSelected="true" showOutlineSymbols="true" defaultGridColor="true" view="normal" topLeftCell="AR1" colorId="64" zoomScale="100" zoomScaleNormal="100" zoomScalePageLayoutView="100" workbookViewId="0">
      <selection pane="topLeft" activeCell="BK9" activeCellId="0" sqref="BK9"/>
    </sheetView>
  </sheetViews>
  <sheetFormatPr defaultColWidth="10.4921875" defaultRowHeight="15.75" zeroHeight="false" outlineLevelRow="0" outlineLevelCol="0"/>
  <sheetData>
    <row r="1" customFormat="false" ht="15.75" hidden="false" customHeight="true" outlineLevel="0" collapsed="false">
      <c r="A1" s="1" t="s">
        <v>50</v>
      </c>
      <c r="B1" s="35" t="s">
        <v>51</v>
      </c>
      <c r="C1" s="35"/>
      <c r="D1" s="35"/>
      <c r="E1" s="35"/>
      <c r="F1" s="35"/>
      <c r="G1" s="35"/>
      <c r="I1" s="1" t="s">
        <v>52</v>
      </c>
      <c r="J1" s="35" t="s">
        <v>51</v>
      </c>
      <c r="K1" s="35"/>
      <c r="L1" s="35"/>
      <c r="M1" s="35"/>
      <c r="N1" s="35"/>
      <c r="O1" s="35"/>
      <c r="Q1" s="1" t="s">
        <v>53</v>
      </c>
      <c r="R1" s="35" t="s">
        <v>51</v>
      </c>
      <c r="S1" s="35"/>
      <c r="T1" s="35"/>
      <c r="U1" s="35"/>
      <c r="V1" s="35"/>
      <c r="W1" s="35"/>
      <c r="Y1" s="1" t="s">
        <v>54</v>
      </c>
      <c r="Z1" s="35" t="s">
        <v>51</v>
      </c>
      <c r="AA1" s="35"/>
      <c r="AB1" s="35"/>
      <c r="AC1" s="35"/>
      <c r="AD1" s="35"/>
      <c r="AE1" s="35"/>
      <c r="AG1" s="1" t="s">
        <v>55</v>
      </c>
      <c r="AH1" s="35" t="s">
        <v>51</v>
      </c>
      <c r="AI1" s="35"/>
      <c r="AJ1" s="35"/>
      <c r="AK1" s="35"/>
      <c r="AL1" s="35"/>
      <c r="AM1" s="35"/>
      <c r="AO1" s="1" t="s">
        <v>56</v>
      </c>
      <c r="AP1" s="35" t="s">
        <v>51</v>
      </c>
      <c r="AQ1" s="35"/>
      <c r="AR1" s="35"/>
      <c r="AS1" s="35"/>
      <c r="AT1" s="35"/>
      <c r="AU1" s="35"/>
      <c r="AW1" s="1" t="s">
        <v>57</v>
      </c>
      <c r="AX1" s="35" t="s">
        <v>51</v>
      </c>
      <c r="AY1" s="35"/>
      <c r="AZ1" s="35"/>
      <c r="BA1" s="35"/>
      <c r="BB1" s="35"/>
      <c r="BC1" s="35"/>
      <c r="BE1" s="1" t="s">
        <v>58</v>
      </c>
      <c r="BF1" s="35" t="s">
        <v>51</v>
      </c>
      <c r="BG1" s="35"/>
      <c r="BH1" s="35"/>
      <c r="BI1" s="35"/>
      <c r="BJ1" s="35"/>
      <c r="BK1" s="35"/>
    </row>
    <row r="2" customFormat="false" ht="15.75" hidden="false" customHeight="true" outlineLevel="0" collapsed="false">
      <c r="A2" s="1" t="s">
        <v>59</v>
      </c>
      <c r="B2" s="1" t="n">
        <v>0</v>
      </c>
      <c r="C2" s="1" t="n">
        <v>250</v>
      </c>
      <c r="D2" s="1" t="n">
        <v>500</v>
      </c>
      <c r="E2" s="1" t="n">
        <v>750</v>
      </c>
      <c r="F2" s="1" t="n">
        <v>1000</v>
      </c>
      <c r="G2" s="1" t="n">
        <v>2000</v>
      </c>
      <c r="I2" s="1" t="s">
        <v>59</v>
      </c>
      <c r="J2" s="1" t="n">
        <v>0</v>
      </c>
      <c r="K2" s="1" t="n">
        <v>250</v>
      </c>
      <c r="L2" s="1" t="n">
        <v>500</v>
      </c>
      <c r="M2" s="1" t="n">
        <v>750</v>
      </c>
      <c r="N2" s="1" t="n">
        <v>1000</v>
      </c>
      <c r="O2" s="1" t="n">
        <v>2000</v>
      </c>
      <c r="Q2" s="1" t="s">
        <v>59</v>
      </c>
      <c r="R2" s="1" t="n">
        <v>0</v>
      </c>
      <c r="S2" s="1" t="n">
        <v>250</v>
      </c>
      <c r="T2" s="1" t="n">
        <v>500</v>
      </c>
      <c r="U2" s="1" t="n">
        <v>750</v>
      </c>
      <c r="V2" s="1" t="n">
        <v>1000</v>
      </c>
      <c r="W2" s="1" t="n">
        <v>1500</v>
      </c>
      <c r="Y2" s="1" t="s">
        <v>59</v>
      </c>
      <c r="Z2" s="1" t="n">
        <v>0</v>
      </c>
      <c r="AA2" s="1" t="n">
        <v>250</v>
      </c>
      <c r="AB2" s="1" t="n">
        <v>500</v>
      </c>
      <c r="AC2" s="1" t="n">
        <v>750</v>
      </c>
      <c r="AD2" s="1" t="n">
        <v>1000</v>
      </c>
      <c r="AE2" s="1" t="n">
        <v>2000</v>
      </c>
      <c r="AG2" s="1" t="s">
        <v>59</v>
      </c>
      <c r="AH2" s="1" t="n">
        <v>0</v>
      </c>
      <c r="AI2" s="1" t="n">
        <v>250</v>
      </c>
      <c r="AJ2" s="1" t="n">
        <v>500</v>
      </c>
      <c r="AK2" s="1" t="n">
        <v>750</v>
      </c>
      <c r="AL2" s="1" t="n">
        <v>1000</v>
      </c>
      <c r="AM2" s="1" t="n">
        <v>2000</v>
      </c>
      <c r="AO2" s="1" t="s">
        <v>59</v>
      </c>
      <c r="AP2" s="1" t="n">
        <v>0</v>
      </c>
      <c r="AQ2" s="1" t="n">
        <v>250</v>
      </c>
      <c r="AR2" s="1" t="n">
        <v>500</v>
      </c>
      <c r="AS2" s="1" t="n">
        <v>750</v>
      </c>
      <c r="AT2" s="1" t="n">
        <v>1000</v>
      </c>
      <c r="AU2" s="1" t="n">
        <v>2000</v>
      </c>
      <c r="AW2" s="1" t="s">
        <v>59</v>
      </c>
      <c r="AX2" s="1" t="n">
        <v>0</v>
      </c>
      <c r="AY2" s="1" t="n">
        <v>250</v>
      </c>
      <c r="AZ2" s="1" t="n">
        <v>500</v>
      </c>
      <c r="BA2" s="1" t="n">
        <v>750</v>
      </c>
      <c r="BB2" s="1" t="n">
        <v>1000</v>
      </c>
      <c r="BC2" s="1" t="n">
        <v>2000</v>
      </c>
      <c r="BE2" s="1" t="s">
        <v>59</v>
      </c>
      <c r="BF2" s="1" t="n">
        <v>0</v>
      </c>
      <c r="BG2" s="1" t="n">
        <v>250</v>
      </c>
      <c r="BH2" s="1" t="n">
        <v>500</v>
      </c>
      <c r="BI2" s="1" t="n">
        <v>750</v>
      </c>
      <c r="BJ2" s="1" t="n">
        <v>1000</v>
      </c>
      <c r="BK2" s="1" t="n">
        <v>2000</v>
      </c>
    </row>
    <row r="3" customFormat="false" ht="15.75" hidden="false" customHeight="true" outlineLevel="0" collapsed="false">
      <c r="A3" s="1" t="n">
        <v>0</v>
      </c>
      <c r="B3" s="36"/>
      <c r="C3" s="36"/>
      <c r="D3" s="36"/>
      <c r="E3" s="36"/>
      <c r="F3" s="36"/>
      <c r="G3" s="36"/>
      <c r="I3" s="1" t="n">
        <v>0</v>
      </c>
      <c r="J3" s="36" t="n">
        <v>0</v>
      </c>
      <c r="K3" s="36" t="n">
        <v>0.02</v>
      </c>
      <c r="L3" s="36" t="n">
        <v>1.24</v>
      </c>
      <c r="M3" s="36" t="n">
        <v>3.7</v>
      </c>
      <c r="N3" s="36" t="n">
        <v>7.4</v>
      </c>
      <c r="O3" s="36" t="n">
        <v>12.36</v>
      </c>
      <c r="Q3" s="1" t="n">
        <v>0</v>
      </c>
      <c r="R3" s="36" t="n">
        <v>0</v>
      </c>
      <c r="S3" s="36" t="n">
        <v>0</v>
      </c>
      <c r="T3" s="36" t="n">
        <v>1.181</v>
      </c>
      <c r="U3" s="36" t="n">
        <v>3.633</v>
      </c>
      <c r="V3" s="36" t="n">
        <v>7.36</v>
      </c>
      <c r="W3" s="36" t="n">
        <v>12.38</v>
      </c>
      <c r="Y3" s="1" t="n">
        <v>0</v>
      </c>
      <c r="Z3" s="36" t="n">
        <v>0</v>
      </c>
      <c r="AA3" s="36" t="n">
        <v>0</v>
      </c>
      <c r="AB3" s="36" t="n">
        <v>1.196</v>
      </c>
      <c r="AC3" s="36" t="n">
        <v>3.67</v>
      </c>
      <c r="AD3" s="36" t="n">
        <v>7.4</v>
      </c>
      <c r="AE3" s="36" t="n">
        <v>12.37</v>
      </c>
      <c r="AG3" s="1" t="n">
        <v>0</v>
      </c>
      <c r="AH3" s="36" t="n">
        <v>0</v>
      </c>
      <c r="AI3" s="36" t="n">
        <v>0</v>
      </c>
      <c r="AJ3" s="36" t="n">
        <v>1.21</v>
      </c>
      <c r="AK3" s="36" t="n">
        <v>3.68</v>
      </c>
      <c r="AL3" s="36" t="n">
        <v>7.42</v>
      </c>
      <c r="AM3" s="36" t="n">
        <v>12.39</v>
      </c>
      <c r="AO3" s="1" t="n">
        <v>0</v>
      </c>
      <c r="AP3" s="36" t="n">
        <v>0</v>
      </c>
      <c r="AQ3" s="36" t="n">
        <v>0</v>
      </c>
      <c r="AR3" s="36" t="n">
        <v>1.22</v>
      </c>
      <c r="AS3" s="36" t="n">
        <v>3.7</v>
      </c>
      <c r="AT3" s="36" t="n">
        <v>7.41</v>
      </c>
      <c r="AU3" s="36" t="n">
        <v>0</v>
      </c>
      <c r="AW3" s="1" t="n">
        <v>0</v>
      </c>
      <c r="AX3" s="36" t="n">
        <v>0</v>
      </c>
      <c r="AY3" s="36" t="n">
        <v>0</v>
      </c>
      <c r="AZ3" s="36" t="n">
        <v>1.22</v>
      </c>
      <c r="BA3" s="36" t="n">
        <v>3.71</v>
      </c>
      <c r="BB3" s="36" t="n">
        <v>7.43</v>
      </c>
      <c r="BC3" s="36" t="n">
        <v>12.42</v>
      </c>
      <c r="BE3" s="1" t="n">
        <v>0</v>
      </c>
      <c r="BF3" s="36" t="n">
        <v>0</v>
      </c>
      <c r="BG3" s="36" t="n">
        <v>0</v>
      </c>
      <c r="BH3" s="36" t="n">
        <v>1.16</v>
      </c>
      <c r="BI3" s="36" t="n">
        <v>3.62</v>
      </c>
      <c r="BJ3" s="36" t="n">
        <v>7.33</v>
      </c>
      <c r="BK3" s="36" t="n">
        <v>12.29</v>
      </c>
    </row>
    <row r="4" customFormat="false" ht="15.75" hidden="false" customHeight="true" outlineLevel="0" collapsed="false">
      <c r="A4" s="1" t="n">
        <v>1</v>
      </c>
      <c r="B4" s="36"/>
      <c r="C4" s="36"/>
      <c r="D4" s="36"/>
      <c r="E4" s="36"/>
      <c r="F4" s="36"/>
      <c r="G4" s="36"/>
      <c r="I4" s="1" t="n">
        <v>1</v>
      </c>
      <c r="J4" s="36" t="n">
        <v>0</v>
      </c>
      <c r="K4" s="36" t="n">
        <v>0.2</v>
      </c>
      <c r="L4" s="36" t="n">
        <v>1.74</v>
      </c>
      <c r="M4" s="36" t="n">
        <v>4.3</v>
      </c>
      <c r="N4" s="36" t="n">
        <v>8.2</v>
      </c>
      <c r="O4" s="36" t="n">
        <v>14.5</v>
      </c>
      <c r="Q4" s="1" t="n">
        <v>1</v>
      </c>
      <c r="R4" s="36" t="n">
        <v>0</v>
      </c>
      <c r="S4" s="36" t="n">
        <v>0.189</v>
      </c>
      <c r="T4" s="36" t="n">
        <v>1.65</v>
      </c>
      <c r="U4" s="36" t="n">
        <v>4.33</v>
      </c>
      <c r="V4" s="36" t="n">
        <v>8.3</v>
      </c>
      <c r="W4" s="36" t="n">
        <v>13.83</v>
      </c>
      <c r="Y4" s="1" t="n">
        <v>1</v>
      </c>
      <c r="Z4" s="36" t="n">
        <v>0</v>
      </c>
      <c r="AA4" s="36" t="n">
        <v>0.21</v>
      </c>
      <c r="AB4" s="36" t="n">
        <v>1.7</v>
      </c>
      <c r="AC4" s="36" t="n">
        <v>4.4</v>
      </c>
      <c r="AD4" s="36" t="n">
        <v>8.37</v>
      </c>
      <c r="AE4" s="36" t="n">
        <v>14.3</v>
      </c>
      <c r="AG4" s="1" t="n">
        <v>1</v>
      </c>
      <c r="AH4" s="36" t="n">
        <v>0</v>
      </c>
      <c r="AI4" s="36" t="n">
        <v>0.21</v>
      </c>
      <c r="AJ4" s="36" t="n">
        <v>1.69</v>
      </c>
      <c r="AK4" s="36" t="n">
        <v>4.4</v>
      </c>
      <c r="AL4" s="36" t="n">
        <v>8.38</v>
      </c>
      <c r="AM4" s="36" t="n">
        <v>14.38</v>
      </c>
      <c r="AO4" s="1" t="n">
        <v>1</v>
      </c>
      <c r="AP4" s="36" t="n">
        <v>0</v>
      </c>
      <c r="AQ4" s="36" t="n">
        <v>0.21</v>
      </c>
      <c r="AR4" s="36" t="n">
        <v>1.69</v>
      </c>
      <c r="AS4" s="36" t="n">
        <v>4.4</v>
      </c>
      <c r="AT4" s="36" t="n">
        <v>8.35</v>
      </c>
      <c r="AU4" s="36" t="n">
        <v>1.98</v>
      </c>
      <c r="AW4" s="1" t="n">
        <v>1</v>
      </c>
      <c r="AX4" s="36" t="n">
        <v>0</v>
      </c>
      <c r="AY4" s="36" t="n">
        <v>2.2</v>
      </c>
      <c r="AZ4" s="36" t="n">
        <v>1.69</v>
      </c>
      <c r="BA4" s="36" t="n">
        <v>4.4</v>
      </c>
      <c r="BB4" s="36" t="n">
        <v>8.3</v>
      </c>
      <c r="BC4" s="36" t="n">
        <v>14.37</v>
      </c>
      <c r="BE4" s="1" t="n">
        <v>1</v>
      </c>
      <c r="BF4" s="36" t="n">
        <v>0</v>
      </c>
      <c r="BG4" s="36" t="n">
        <v>0.17</v>
      </c>
      <c r="BH4" s="36" t="n">
        <v>1.64</v>
      </c>
      <c r="BI4" s="36" t="n">
        <v>4.32</v>
      </c>
      <c r="BJ4" s="36" t="n">
        <v>8.28</v>
      </c>
      <c r="BK4" s="36" t="n">
        <v>14.24</v>
      </c>
    </row>
    <row r="5" customFormat="false" ht="15.75" hidden="false" customHeight="true" outlineLevel="0" collapsed="false">
      <c r="A5" s="1" t="n">
        <v>2</v>
      </c>
      <c r="B5" s="36"/>
      <c r="C5" s="36"/>
      <c r="D5" s="36"/>
      <c r="E5" s="36"/>
      <c r="F5" s="36"/>
      <c r="G5" s="36"/>
      <c r="I5" s="1" t="n">
        <v>2</v>
      </c>
      <c r="J5" s="36" t="n">
        <v>0</v>
      </c>
      <c r="K5" s="36" t="n">
        <v>0.42</v>
      </c>
      <c r="L5" s="36" t="n">
        <v>2.23</v>
      </c>
      <c r="M5" s="36" t="n">
        <v>5</v>
      </c>
      <c r="N5" s="36" t="n">
        <v>9.3</v>
      </c>
      <c r="O5" s="36" t="n">
        <v>16.42</v>
      </c>
      <c r="Q5" s="1" t="n">
        <v>2</v>
      </c>
      <c r="R5" s="36" t="n">
        <v>0</v>
      </c>
      <c r="S5" s="36" t="n">
        <v>0.435</v>
      </c>
      <c r="T5" s="36" t="n">
        <v>2.14</v>
      </c>
      <c r="U5" s="36" t="n">
        <v>5.07</v>
      </c>
      <c r="V5" s="36" t="n">
        <v>9.3</v>
      </c>
      <c r="W5" s="36" t="n">
        <v>15.35</v>
      </c>
      <c r="Y5" s="1" t="n">
        <v>2</v>
      </c>
      <c r="Z5" s="36" t="n">
        <v>0</v>
      </c>
      <c r="AA5" s="36" t="n">
        <v>0.445</v>
      </c>
      <c r="AB5" s="36" t="n">
        <v>2.18</v>
      </c>
      <c r="AC5" s="36" t="n">
        <v>5.14</v>
      </c>
      <c r="AD5" s="36" t="n">
        <v>9.37</v>
      </c>
      <c r="AE5" s="36" t="n">
        <v>16.3</v>
      </c>
      <c r="AG5" s="1" t="n">
        <v>2</v>
      </c>
      <c r="AH5" s="36" t="n">
        <v>0</v>
      </c>
      <c r="AI5" s="36" t="n">
        <v>0.46</v>
      </c>
      <c r="AJ5" s="36" t="n">
        <v>2.185</v>
      </c>
      <c r="AK5" s="36" t="n">
        <v>5.15</v>
      </c>
      <c r="AL5" s="36" t="n">
        <v>9.38</v>
      </c>
      <c r="AM5" s="36" t="n">
        <v>16.39</v>
      </c>
      <c r="AO5" s="1" t="n">
        <v>2</v>
      </c>
      <c r="AP5" s="36" t="n">
        <v>0</v>
      </c>
      <c r="AQ5" s="36" t="n">
        <v>0.451</v>
      </c>
      <c r="AR5" s="36" t="n">
        <v>2.183</v>
      </c>
      <c r="AS5" s="36" t="n">
        <v>5.14</v>
      </c>
      <c r="AT5" s="36" t="n">
        <v>9.35</v>
      </c>
      <c r="AU5" s="36" t="n">
        <v>3.98</v>
      </c>
      <c r="AW5" s="1" t="n">
        <v>2</v>
      </c>
      <c r="AX5" s="36" t="n">
        <v>0</v>
      </c>
      <c r="AY5" s="36" t="n">
        <v>0.47</v>
      </c>
      <c r="AZ5" s="36" t="n">
        <v>2.19</v>
      </c>
      <c r="BA5" s="36" t="n">
        <v>5.12</v>
      </c>
      <c r="BB5" s="36" t="n">
        <v>9.4</v>
      </c>
      <c r="BC5" s="36" t="n">
        <v>16.36</v>
      </c>
      <c r="BE5" s="1" t="n">
        <v>2</v>
      </c>
      <c r="BF5" s="36" t="n">
        <v>0</v>
      </c>
      <c r="BG5" s="36" t="n">
        <v>0.42</v>
      </c>
      <c r="BH5" s="36" t="n">
        <v>2.13</v>
      </c>
      <c r="BI5" s="36" t="n">
        <v>5.07</v>
      </c>
      <c r="BJ5" s="36" t="n">
        <v>9.28</v>
      </c>
      <c r="BK5" s="36" t="n">
        <v>16.25</v>
      </c>
    </row>
    <row r="6" customFormat="false" ht="15.75" hidden="false" customHeight="true" outlineLevel="0" collapsed="false">
      <c r="A6" s="1" t="n">
        <v>3</v>
      </c>
      <c r="B6" s="36"/>
      <c r="C6" s="36"/>
      <c r="D6" s="36"/>
      <c r="E6" s="36"/>
      <c r="F6" s="36"/>
      <c r="G6" s="36"/>
      <c r="I6" s="1" t="n">
        <v>3</v>
      </c>
      <c r="J6" s="36" t="n">
        <v>0.018</v>
      </c>
      <c r="K6" s="36" t="n">
        <v>0.6</v>
      </c>
      <c r="L6" s="36" t="n">
        <v>2.7</v>
      </c>
      <c r="M6" s="36" t="n">
        <v>5.8</v>
      </c>
      <c r="N6" s="36" t="n">
        <v>10.3</v>
      </c>
      <c r="O6" s="36" t="n">
        <v>18.45</v>
      </c>
      <c r="Q6" s="1" t="n">
        <v>3</v>
      </c>
      <c r="R6" s="36" t="n">
        <v>0</v>
      </c>
      <c r="S6" s="36" t="n">
        <v>0.675</v>
      </c>
      <c r="T6" s="36" t="n">
        <v>2.63</v>
      </c>
      <c r="U6" s="36" t="n">
        <v>5.82</v>
      </c>
      <c r="V6" s="36" t="n">
        <v>10.31</v>
      </c>
      <c r="W6" s="36" t="n">
        <v>16.88</v>
      </c>
      <c r="Y6" s="1" t="n">
        <v>3</v>
      </c>
      <c r="Z6" s="36" t="n">
        <v>0</v>
      </c>
      <c r="AA6" s="36" t="n">
        <v>0.69</v>
      </c>
      <c r="AB6" s="36" t="n">
        <v>2.67</v>
      </c>
      <c r="AC6" s="36" t="n">
        <v>5.88</v>
      </c>
      <c r="AD6" s="36" t="n">
        <v>10.38</v>
      </c>
      <c r="AE6" s="36" t="n">
        <v>18.3</v>
      </c>
      <c r="AG6" s="1" t="n">
        <v>3</v>
      </c>
      <c r="AH6" s="36" t="n">
        <v>0</v>
      </c>
      <c r="AI6" s="36" t="n">
        <v>0.707</v>
      </c>
      <c r="AJ6" s="36" t="n">
        <v>2.68</v>
      </c>
      <c r="AK6" s="36" t="n">
        <v>5.89</v>
      </c>
      <c r="AL6" s="36" t="n">
        <v>10.38</v>
      </c>
      <c r="AM6" s="36" t="n">
        <v>18.38</v>
      </c>
      <c r="AO6" s="1" t="n">
        <v>3</v>
      </c>
      <c r="AP6" s="36" t="n">
        <v>0</v>
      </c>
      <c r="AQ6" s="36" t="n">
        <v>0.7</v>
      </c>
      <c r="AR6" s="36" t="n">
        <v>2.68</v>
      </c>
      <c r="AS6" s="36" t="n">
        <v>5.88</v>
      </c>
      <c r="AT6" s="36" t="n">
        <v>10.35</v>
      </c>
      <c r="AU6" s="36" t="n">
        <v>5.98</v>
      </c>
      <c r="AW6" s="1" t="n">
        <v>3</v>
      </c>
      <c r="AX6" s="36" t="n">
        <v>0</v>
      </c>
      <c r="AY6" s="36" t="n">
        <v>0.72</v>
      </c>
      <c r="AZ6" s="36" t="n">
        <v>2.69</v>
      </c>
      <c r="BA6" s="36" t="n">
        <v>5.9</v>
      </c>
      <c r="BB6" s="36" t="n">
        <v>10.4</v>
      </c>
      <c r="BC6" s="36" t="n">
        <v>18.36</v>
      </c>
      <c r="BE6" s="1" t="n">
        <v>3</v>
      </c>
      <c r="BF6" s="36" t="n">
        <v>0</v>
      </c>
      <c r="BG6" s="36" t="n">
        <v>0.67</v>
      </c>
      <c r="BH6" s="36" t="n">
        <v>2.62</v>
      </c>
      <c r="BI6" s="36" t="n">
        <v>5.8</v>
      </c>
      <c r="BJ6" s="36" t="n">
        <v>10.28</v>
      </c>
      <c r="BK6" s="36" t="n">
        <v>18.24</v>
      </c>
    </row>
    <row r="7" customFormat="false" ht="15.75" hidden="false" customHeight="true" outlineLevel="0" collapsed="false">
      <c r="A7" s="1" t="n">
        <v>4</v>
      </c>
      <c r="B7" s="36"/>
      <c r="C7" s="36"/>
      <c r="D7" s="36"/>
      <c r="E7" s="36"/>
      <c r="F7" s="36"/>
      <c r="G7" s="36"/>
      <c r="I7" s="1" t="n">
        <v>4</v>
      </c>
      <c r="J7" s="36" t="n">
        <v>0.018</v>
      </c>
      <c r="K7" s="36" t="n">
        <v>0.84</v>
      </c>
      <c r="L7" s="36" t="n">
        <v>3.2</v>
      </c>
      <c r="M7" s="36" t="n">
        <v>6.3</v>
      </c>
      <c r="N7" s="36" t="n">
        <v>11.27</v>
      </c>
      <c r="O7" s="36" t="n">
        <v>20.45</v>
      </c>
      <c r="Q7" s="1" t="n">
        <v>4</v>
      </c>
      <c r="R7" s="36" t="n">
        <v>0</v>
      </c>
      <c r="S7" s="36" t="n">
        <v>0.935</v>
      </c>
      <c r="T7" s="36" t="n">
        <v>3.12</v>
      </c>
      <c r="U7" s="36" t="n">
        <v>6.55</v>
      </c>
      <c r="V7" s="36" t="n">
        <v>11.32</v>
      </c>
      <c r="W7" s="36" t="n">
        <v>18.41</v>
      </c>
      <c r="Y7" s="1" t="n">
        <v>4</v>
      </c>
      <c r="Z7" s="36" t="n">
        <v>0</v>
      </c>
      <c r="AA7" s="36" t="n">
        <v>0.94</v>
      </c>
      <c r="AB7" s="36" t="n">
        <v>3.17</v>
      </c>
      <c r="AC7" s="36" t="n">
        <v>6.62</v>
      </c>
      <c r="AD7" s="36" t="n">
        <v>11.36</v>
      </c>
      <c r="AE7" s="36" t="n">
        <v>20.3</v>
      </c>
      <c r="AG7" s="1" t="n">
        <v>4</v>
      </c>
      <c r="AH7" s="36" t="n">
        <v>0</v>
      </c>
      <c r="AI7" s="36" t="n">
        <v>0.957</v>
      </c>
      <c r="AJ7" s="36" t="n">
        <v>3.169</v>
      </c>
      <c r="AK7" s="36" t="n">
        <v>6.64</v>
      </c>
      <c r="AL7" s="36" t="n">
        <v>11.37</v>
      </c>
      <c r="AM7" s="36" t="n">
        <v>20.37</v>
      </c>
      <c r="AO7" s="1" t="n">
        <v>4</v>
      </c>
      <c r="AP7" s="36" t="n">
        <v>0</v>
      </c>
      <c r="AQ7" s="36" t="n">
        <v>0.95</v>
      </c>
      <c r="AR7" s="36" t="n">
        <v>3.17</v>
      </c>
      <c r="AS7" s="36" t="n">
        <v>6.63</v>
      </c>
      <c r="AT7" s="36" t="n">
        <v>11.34</v>
      </c>
      <c r="AU7" s="36" t="n">
        <v>7.98</v>
      </c>
      <c r="AW7" s="1" t="n">
        <v>4</v>
      </c>
      <c r="AX7" s="36" t="n">
        <v>0</v>
      </c>
      <c r="AY7" s="36" t="n">
        <v>0.98</v>
      </c>
      <c r="AZ7" s="36" t="n">
        <v>3.19</v>
      </c>
      <c r="BA7" s="36" t="n">
        <v>6.7</v>
      </c>
      <c r="BB7" s="36" t="n">
        <v>11.4</v>
      </c>
      <c r="BC7" s="36" t="n">
        <v>20.37</v>
      </c>
      <c r="BE7" s="1" t="n">
        <v>4</v>
      </c>
      <c r="BF7" s="36" t="n">
        <v>0</v>
      </c>
      <c r="BG7" s="36" t="n">
        <v>0.91</v>
      </c>
      <c r="BH7" s="36" t="n">
        <v>3.1</v>
      </c>
      <c r="BI7" s="36" t="n">
        <v>6.54</v>
      </c>
      <c r="BJ7" s="36" t="n">
        <v>11.28</v>
      </c>
      <c r="BK7" s="36" t="n">
        <v>20.25</v>
      </c>
    </row>
    <row r="8" customFormat="false" ht="15.75" hidden="false" customHeight="true" outlineLevel="0" collapsed="false">
      <c r="A8" s="1" t="n">
        <v>5</v>
      </c>
      <c r="B8" s="36"/>
      <c r="C8" s="36"/>
      <c r="D8" s="36"/>
      <c r="E8" s="36"/>
      <c r="F8" s="36"/>
      <c r="G8" s="36"/>
      <c r="I8" s="1" t="n">
        <v>5</v>
      </c>
      <c r="J8" s="36" t="n">
        <v>0.02</v>
      </c>
      <c r="K8" s="36" t="n">
        <v>1.24</v>
      </c>
      <c r="L8" s="36" t="n">
        <v>3.66</v>
      </c>
      <c r="M8" s="36" t="n">
        <v>7.3</v>
      </c>
      <c r="N8" s="36" t="n">
        <v>12.3</v>
      </c>
      <c r="O8" s="36" t="n">
        <v>22.35</v>
      </c>
      <c r="Q8" s="1" t="n">
        <v>5</v>
      </c>
      <c r="R8" s="36" t="n">
        <v>0</v>
      </c>
      <c r="S8" s="36" t="n">
        <v>1.169</v>
      </c>
      <c r="T8" s="36" t="n">
        <v>3.61</v>
      </c>
      <c r="U8" s="36" t="n">
        <v>7.33</v>
      </c>
      <c r="V8" s="36" t="n">
        <v>12.32</v>
      </c>
      <c r="W8" s="36" t="n">
        <v>19.94</v>
      </c>
      <c r="Y8" s="1" t="n">
        <v>5</v>
      </c>
      <c r="Z8" s="36" t="n">
        <v>0</v>
      </c>
      <c r="AA8" s="36" t="n">
        <v>1.185</v>
      </c>
      <c r="AB8" s="36" t="n">
        <v>3.66</v>
      </c>
      <c r="AC8" s="36" t="n">
        <v>7.38</v>
      </c>
      <c r="AD8" s="36" t="n">
        <v>12.37</v>
      </c>
      <c r="AE8" s="36" t="n">
        <v>22.3</v>
      </c>
      <c r="AG8" s="1" t="n">
        <v>5</v>
      </c>
      <c r="AH8" s="36" t="n">
        <v>0</v>
      </c>
      <c r="AI8" s="36" t="n">
        <v>1.2</v>
      </c>
      <c r="AJ8" s="36" t="n">
        <v>3.66</v>
      </c>
      <c r="AK8" s="36" t="n">
        <v>7.4</v>
      </c>
      <c r="AL8" s="36" t="n">
        <v>12.37</v>
      </c>
      <c r="AM8" s="36" t="n">
        <v>22.38</v>
      </c>
      <c r="AO8" s="1" t="n">
        <v>5</v>
      </c>
      <c r="AP8" s="36" t="n">
        <v>0</v>
      </c>
      <c r="AQ8" s="36" t="n">
        <v>1.21</v>
      </c>
      <c r="AR8" s="36" t="n">
        <v>3.67</v>
      </c>
      <c r="AS8" s="36" t="n">
        <v>7.39</v>
      </c>
      <c r="AT8" s="36" t="n">
        <v>12.34</v>
      </c>
      <c r="AU8" s="36" t="n">
        <v>9.98</v>
      </c>
      <c r="AW8" s="1" t="n">
        <v>5</v>
      </c>
      <c r="AX8" s="36" t="n">
        <v>0</v>
      </c>
      <c r="AY8" s="36" t="n">
        <v>1.21</v>
      </c>
      <c r="AZ8" s="36" t="n">
        <v>3.685</v>
      </c>
      <c r="BA8" s="36" t="n">
        <v>7.4</v>
      </c>
      <c r="BB8" s="36" t="n">
        <v>12.39</v>
      </c>
      <c r="BC8" s="36" t="n">
        <v>22.35</v>
      </c>
      <c r="BE8" s="1" t="n">
        <v>5</v>
      </c>
      <c r="BF8" s="36" t="n">
        <v>0</v>
      </c>
      <c r="BG8" s="36" t="n">
        <v>1.15</v>
      </c>
      <c r="BH8" s="36" t="n">
        <v>3.6</v>
      </c>
      <c r="BI8" s="36" t="n">
        <v>7.29</v>
      </c>
      <c r="BJ8" s="36" t="n">
        <v>12.26</v>
      </c>
      <c r="BK8" s="36" t="n">
        <v>22.24</v>
      </c>
    </row>
    <row r="9" customFormat="false" ht="15.75" hidden="false" customHeight="true" outlineLevel="0" collapsed="false">
      <c r="A9" s="1" t="s">
        <v>60</v>
      </c>
      <c r="B9" s="1" t="n">
        <f aca="false">AVERAGE(B3-0,B4-B3,B5-B4,B6-B5,B7-B6,B8-B7)</f>
        <v>0</v>
      </c>
      <c r="C9" s="1" t="n">
        <f aca="false">AVERAGE(C4-C3,C5-C4,C6-C5,C7-C6,C8-C7)</f>
        <v>0</v>
      </c>
      <c r="D9" s="1" t="n">
        <f aca="false">AVERAGE(D4-D3,D5-D4,D6-D5,D7-D6,D8-D7)</f>
        <v>0</v>
      </c>
      <c r="E9" s="1" t="n">
        <f aca="false">AVERAGE(E4-E3,E5-E4,E6-E5,E7-E6,E8-E7)</f>
        <v>0</v>
      </c>
      <c r="F9" s="1" t="n">
        <f aca="false">AVERAGE(F4-F3,F5-F4,F6-F5,F7-F6,F8-F7)</f>
        <v>0</v>
      </c>
      <c r="G9" s="1" t="n">
        <f aca="false">AVERAGE(G4-G3,G5-G4,G6-G5,G7-G6,G8-G7)</f>
        <v>0</v>
      </c>
      <c r="H9" s="1" t="s">
        <v>61</v>
      </c>
      <c r="I9" s="1" t="s">
        <v>60</v>
      </c>
      <c r="J9" s="1" t="n">
        <f aca="false">AVERAGE(J3-0,J4-J3,J5-J4,J6-J5,J7-J6,J8-J7)</f>
        <v>0.00333333333333333</v>
      </c>
      <c r="K9" s="1" t="n">
        <f aca="false">AVERAGE(K4-K3,K5-K4,K6-K5,K7-K6,K8-K7)</f>
        <v>0.244</v>
      </c>
      <c r="L9" s="1" t="n">
        <f aca="false">AVERAGE(L4-L3,L5-L4,L6-L5,L7-L6,L8-L7)</f>
        <v>0.484</v>
      </c>
      <c r="M9" s="1" t="n">
        <f aca="false">AVERAGE(M4-M3,M5-M4,M6-M5,M7-M6,M8-M7)</f>
        <v>0.72</v>
      </c>
      <c r="N9" s="1" t="n">
        <f aca="false">AVERAGE(N4-N3,N5-N4,N6-N5,N7-N6,N8-N7)</f>
        <v>0.98</v>
      </c>
      <c r="O9" s="1" t="n">
        <f aca="false">AVERAGE(O4-O3,O5-O4,O6-O5,O7-O6,O8-O7)</f>
        <v>1.998</v>
      </c>
      <c r="P9" s="1" t="s">
        <v>61</v>
      </c>
      <c r="Q9" s="1" t="s">
        <v>60</v>
      </c>
      <c r="R9" s="1" t="n">
        <f aca="false">AVERAGE(R4-R3,R5-R4,R6-R5,R7-R6,R8-R7)</f>
        <v>0</v>
      </c>
      <c r="S9" s="1" t="n">
        <f aca="false">AVERAGE(S4-S3,S5-S4,S6-S5,S7-S6,S8-S7)</f>
        <v>0.2338</v>
      </c>
      <c r="T9" s="1" t="n">
        <f aca="false">AVERAGE(T4-T3,T5-T4,T6-T5,T7-T6,T8-T7)</f>
        <v>0.4858</v>
      </c>
      <c r="U9" s="1" t="n">
        <f aca="false">AVERAGE(U4-U3,U5-U4,U6-U5,U7-U6,U8-U7)</f>
        <v>0.7394</v>
      </c>
      <c r="V9" s="1" t="n">
        <f aca="false">AVERAGE(V4-V3,V5-V4,V6-V5,V7-V6,V8-V7)</f>
        <v>0.992</v>
      </c>
      <c r="W9" s="1" t="n">
        <f aca="false">AVERAGE(W4-W3,W5-W4,W6-W5,W7-W6,W8-W7)</f>
        <v>1.512</v>
      </c>
      <c r="X9" s="1" t="s">
        <v>61</v>
      </c>
      <c r="Y9" s="1" t="s">
        <v>60</v>
      </c>
      <c r="Z9" s="1" t="n">
        <f aca="false">AVERAGE(Z4-Z3,Z5-Z4,Z6-Z5,Z7-Z6,Z8-Z7)</f>
        <v>0</v>
      </c>
      <c r="AA9" s="1" t="n">
        <f aca="false">AVERAGE(AA4-AA3,AA5-AA4,AA6-AA5,AA7-AA6,AA8-AA7)</f>
        <v>0.237</v>
      </c>
      <c r="AB9" s="1" t="n">
        <f aca="false">AVERAGE(AB4-AB3,AB5-AB4,AB6-AB5,AB7-AB6,AB8-AB7)</f>
        <v>0.4928</v>
      </c>
      <c r="AC9" s="1" t="n">
        <f aca="false">AVERAGE(AC4-AC3,AC5-AC4,AC6-AC5,AC7-AC6,AC8-AC7)</f>
        <v>0.742</v>
      </c>
      <c r="AD9" s="1" t="n">
        <f aca="false">AVERAGE(AD4-AD3,AD5-AD4,AD6-AD5,AD7-AD6,AD8-AD7)</f>
        <v>0.994</v>
      </c>
      <c r="AE9" s="1" t="n">
        <f aca="false">AVERAGE(AE4-AE3,AE5-AE4,AE6-AE5,AE7-AE6,AE8-AE7)</f>
        <v>1.986</v>
      </c>
      <c r="AF9" s="1" t="s">
        <v>61</v>
      </c>
      <c r="AG9" s="1" t="s">
        <v>60</v>
      </c>
      <c r="AH9" s="1" t="n">
        <f aca="false">AVERAGE(AH4-AH3,AH5-AH4,AH6-AH5,AH7-AH6,AH8-AH7)</f>
        <v>0</v>
      </c>
      <c r="AI9" s="1" t="n">
        <f aca="false">AVERAGE(AI4-AI3,AI5-AI4,AI6-AI5,AI7-AI6,AI8-AI7)</f>
        <v>0.24</v>
      </c>
      <c r="AJ9" s="1" t="n">
        <f aca="false">AVERAGE(AJ4-AJ3,AJ5-AJ4,AJ6-AJ5,AJ7-AJ6,AJ8-AJ7)</f>
        <v>0.49</v>
      </c>
      <c r="AK9" s="1" t="n">
        <f aca="false">AVERAGE(AK4-AK3,AK5-AK4,AK6-AK5,AK7-AK6,AK8-AK7)</f>
        <v>0.744</v>
      </c>
      <c r="AL9" s="1" t="n">
        <f aca="false">AVERAGE(AL4-AL3,AL5-AL4,AL6-AL5,AL7-AL6,AL8-AL7)</f>
        <v>0.99</v>
      </c>
      <c r="AM9" s="1" t="n">
        <f aca="false">AVERAGE(AM4-AM3,AM5-AM4,AM6-AM5,AM7-AM6,AM8-AM7)</f>
        <v>1.998</v>
      </c>
      <c r="AN9" s="1" t="s">
        <v>61</v>
      </c>
      <c r="AO9" s="1" t="s">
        <v>60</v>
      </c>
      <c r="AP9" s="1" t="n">
        <f aca="false">AVERAGE(AP4-AP3,AP5-AP4,AP6-AP5,AP7-AP6,AP8-AP7)</f>
        <v>0</v>
      </c>
      <c r="AQ9" s="1" t="n">
        <f aca="false">AVERAGE(AQ4-AQ3,AQ5-AQ4,AQ6-AQ5,AQ7-AQ6,AQ8-AQ7)</f>
        <v>0.242</v>
      </c>
      <c r="AR9" s="1" t="n">
        <f aca="false">AVERAGE(AR4-AR3,AR5-AR4,AR6-AR5,AR7-AR6,AR8-AR7)</f>
        <v>0.49</v>
      </c>
      <c r="AS9" s="1" t="n">
        <f aca="false">AVERAGE(AS4-AS3,AS5-AS4,AS6-AS5,AS7-AS6,AS8-AS7)</f>
        <v>0.738</v>
      </c>
      <c r="AT9" s="1" t="n">
        <f aca="false">AVERAGE(AT4-AT3,AT5-AT4,AT6-AT5,AT7-AT6,AT8-AT7)</f>
        <v>0.986</v>
      </c>
      <c r="AU9" s="1" t="n">
        <f aca="false">AVERAGE(AU4-AU3,AU5-AU4,AU6-AU5,AU7-AU6,AU8-AU7)</f>
        <v>1.996</v>
      </c>
      <c r="AV9" s="1" t="s">
        <v>61</v>
      </c>
      <c r="AW9" s="1" t="s">
        <v>60</v>
      </c>
      <c r="AX9" s="1" t="n">
        <f aca="false">AVERAGE(AX4-AX3,AX5-AX4,AX6-AX5,AX7-AX6,AX8-AX7)</f>
        <v>0</v>
      </c>
      <c r="AY9" s="1" t="n">
        <f aca="false">AVERAGE(AY4-AY3,AY5-AY4,AY6-AY5,AY7-AY6,AY8-AY7)</f>
        <v>0.242</v>
      </c>
      <c r="AZ9" s="1" t="n">
        <f aca="false">AVERAGE(AZ4-AZ3,AZ5-AZ4,AZ6-AZ5,AZ7-AZ6,AZ8-AZ7)</f>
        <v>0.493</v>
      </c>
      <c r="BA9" s="1" t="n">
        <f aca="false">AVERAGE(BA4-BA3,BA5-BA4,BA6-BA5,BA7-BA6,BA8-BA7)</f>
        <v>0.738</v>
      </c>
      <c r="BB9" s="1" t="n">
        <f aca="false">AVERAGE(BB4-BB3,BB5-BB4,BB6-BB5,BB7-BB6,BB8-BB7)</f>
        <v>0.992</v>
      </c>
      <c r="BC9" s="1" t="n">
        <f aca="false">AVERAGE(BC4-BC3,BC5-BC4,BC6-BC5,BC7-BC6,BC8-BC7)</f>
        <v>1.986</v>
      </c>
      <c r="BD9" s="1" t="s">
        <v>61</v>
      </c>
      <c r="BE9" s="1" t="s">
        <v>60</v>
      </c>
      <c r="BF9" s="1" t="n">
        <f aca="false">AVERAGE(BF4-BF3,BF5-BF4,BF6-BF5,BF7-BF6,BF8-BF7)</f>
        <v>0</v>
      </c>
      <c r="BG9" s="1" t="n">
        <f aca="false">AVERAGE(BG4-BG3,BG5-BG4,BG6-BG5,BG7-BG6,BG8-BG7)</f>
        <v>0.23</v>
      </c>
      <c r="BH9" s="1" t="n">
        <f aca="false">AVERAGE(BH4-BH3,BH5-BH4,BH6-BH5,BH7-BH6,BH8-BH7)</f>
        <v>0.488</v>
      </c>
      <c r="BI9" s="1" t="n">
        <f aca="false">AVERAGE(BI4-BI3,BI5-BI4,BI6-BI5,BI7-BI6,BI8-BI7)</f>
        <v>0.734</v>
      </c>
      <c r="BJ9" s="1" t="n">
        <f aca="false">AVERAGE(BJ4-BJ3,BJ5-BJ4,BJ6-BJ5,BJ7-BJ6,BJ8-BJ7)</f>
        <v>0.986</v>
      </c>
      <c r="BK9" s="1" t="n">
        <f aca="false">AVERAGE(BK4-BK3,BK5-BK4,BK6-BK5,BK7-BK6,BK8-BK7)</f>
        <v>1.99</v>
      </c>
      <c r="BL9" s="1" t="s">
        <v>61</v>
      </c>
    </row>
    <row r="10" customFormat="false" ht="15.75" hidden="false" customHeight="true" outlineLevel="0" collapsed="false">
      <c r="A10" s="1" t="s">
        <v>62</v>
      </c>
      <c r="B10" s="37" t="n">
        <f aca="false">B9*0.997</f>
        <v>0</v>
      </c>
      <c r="C10" s="37" t="n">
        <f aca="false">C9*0.997</f>
        <v>0</v>
      </c>
      <c r="D10" s="37" t="n">
        <f aca="false">D9*0.997</f>
        <v>0</v>
      </c>
      <c r="E10" s="37" t="n">
        <f aca="false">E9*0.997</f>
        <v>0</v>
      </c>
      <c r="F10" s="37" t="n">
        <f aca="false">F9*0.997</f>
        <v>0</v>
      </c>
      <c r="G10" s="37" t="n">
        <f aca="false">G9*0.997</f>
        <v>0</v>
      </c>
      <c r="H10" s="1" t="s">
        <v>63</v>
      </c>
      <c r="I10" s="1" t="s">
        <v>62</v>
      </c>
      <c r="J10" s="37" t="n">
        <f aca="false">J9*0.997</f>
        <v>0.00332333333333333</v>
      </c>
      <c r="K10" s="37" t="n">
        <f aca="false">K9*0.997</f>
        <v>0.243268</v>
      </c>
      <c r="L10" s="37" t="n">
        <f aca="false">L9*0.997</f>
        <v>0.482548</v>
      </c>
      <c r="M10" s="37" t="n">
        <f aca="false">M9*0.997</f>
        <v>0.71784</v>
      </c>
      <c r="N10" s="37" t="n">
        <f aca="false">N9*0.997</f>
        <v>0.97706</v>
      </c>
      <c r="O10" s="37" t="n">
        <f aca="false">O9*0.997</f>
        <v>1.992006</v>
      </c>
      <c r="P10" s="1" t="s">
        <v>63</v>
      </c>
      <c r="Q10" s="1" t="s">
        <v>62</v>
      </c>
      <c r="R10" s="37" t="n">
        <f aca="false">R9*0.997</f>
        <v>0</v>
      </c>
      <c r="S10" s="37" t="n">
        <f aca="false">S9*0.997</f>
        <v>0.2330986</v>
      </c>
      <c r="T10" s="37" t="n">
        <f aca="false">T9*0.997</f>
        <v>0.4843426</v>
      </c>
      <c r="U10" s="37" t="n">
        <f aca="false">U9*0.997</f>
        <v>0.7371818</v>
      </c>
      <c r="V10" s="37" t="n">
        <f aca="false">V9*0.997</f>
        <v>0.989024</v>
      </c>
      <c r="W10" s="37" t="n">
        <f aca="false">W9*0.997</f>
        <v>1.507464</v>
      </c>
      <c r="X10" s="1" t="s">
        <v>63</v>
      </c>
      <c r="Y10" s="1" t="s">
        <v>62</v>
      </c>
      <c r="Z10" s="37" t="n">
        <f aca="false">Z9*0.997</f>
        <v>0</v>
      </c>
      <c r="AA10" s="37" t="n">
        <f aca="false">AA9*0.997</f>
        <v>0.236289</v>
      </c>
      <c r="AB10" s="37" t="n">
        <f aca="false">AB9*0.997</f>
        <v>0.4913216</v>
      </c>
      <c r="AC10" s="37" t="n">
        <f aca="false">AC9*0.997</f>
        <v>0.739774</v>
      </c>
      <c r="AD10" s="37" t="n">
        <f aca="false">AD9*0.997</f>
        <v>0.991018</v>
      </c>
      <c r="AE10" s="37" t="n">
        <f aca="false">AE9*0.997</f>
        <v>1.980042</v>
      </c>
      <c r="AF10" s="1" t="s">
        <v>63</v>
      </c>
      <c r="AG10" s="1" t="s">
        <v>62</v>
      </c>
      <c r="AH10" s="37" t="n">
        <f aca="false">AH9*0.997</f>
        <v>0</v>
      </c>
      <c r="AI10" s="37" t="n">
        <f aca="false">AI9*0.997</f>
        <v>0.23928</v>
      </c>
      <c r="AJ10" s="37" t="n">
        <f aca="false">AJ9*0.997</f>
        <v>0.48853</v>
      </c>
      <c r="AK10" s="37" t="n">
        <f aca="false">AK9*0.997</f>
        <v>0.741768</v>
      </c>
      <c r="AL10" s="37" t="n">
        <f aca="false">AL9*0.997</f>
        <v>0.98703</v>
      </c>
      <c r="AM10" s="37" t="n">
        <f aca="false">AM9*0.997</f>
        <v>1.992006</v>
      </c>
      <c r="AN10" s="1" t="s">
        <v>63</v>
      </c>
      <c r="AO10" s="1" t="s">
        <v>62</v>
      </c>
      <c r="AP10" s="37" t="n">
        <f aca="false">AP9*0.997</f>
        <v>0</v>
      </c>
      <c r="AQ10" s="37" t="n">
        <f aca="false">AQ9*0.997</f>
        <v>0.241274</v>
      </c>
      <c r="AR10" s="37" t="n">
        <f aca="false">AR9*0.997</f>
        <v>0.48853</v>
      </c>
      <c r="AS10" s="37" t="n">
        <f aca="false">AS9*0.997</f>
        <v>0.735786</v>
      </c>
      <c r="AT10" s="37" t="n">
        <f aca="false">AT9*0.997</f>
        <v>0.983042</v>
      </c>
      <c r="AU10" s="37" t="n">
        <f aca="false">AU9*0.997</f>
        <v>1.990012</v>
      </c>
      <c r="AV10" s="1" t="s">
        <v>63</v>
      </c>
      <c r="AW10" s="1" t="s">
        <v>62</v>
      </c>
      <c r="AX10" s="37" t="n">
        <f aca="false">AX9*0.997</f>
        <v>0</v>
      </c>
      <c r="AY10" s="37" t="n">
        <f aca="false">AY9*0.997</f>
        <v>0.241274</v>
      </c>
      <c r="AZ10" s="37" t="n">
        <f aca="false">AZ9*0.997</f>
        <v>0.491521</v>
      </c>
      <c r="BA10" s="37" t="n">
        <f aca="false">BA9*0.997</f>
        <v>0.735786</v>
      </c>
      <c r="BB10" s="37" t="n">
        <f aca="false">BB9*0.997</f>
        <v>0.989024</v>
      </c>
      <c r="BC10" s="37" t="n">
        <f aca="false">BC9*0.997</f>
        <v>1.980042</v>
      </c>
      <c r="BD10" s="1" t="s">
        <v>63</v>
      </c>
      <c r="BE10" s="1" t="s">
        <v>62</v>
      </c>
      <c r="BF10" s="37" t="n">
        <f aca="false">BF9*0.997</f>
        <v>0</v>
      </c>
      <c r="BG10" s="37" t="n">
        <f aca="false">BG9*0.997</f>
        <v>0.22931</v>
      </c>
      <c r="BH10" s="37" t="n">
        <f aca="false">BH9*0.997</f>
        <v>0.486536</v>
      </c>
      <c r="BI10" s="37" t="n">
        <f aca="false">BI9*0.997</f>
        <v>0.731798</v>
      </c>
      <c r="BJ10" s="37" t="n">
        <f aca="false">BJ9*0.997</f>
        <v>0.983042</v>
      </c>
      <c r="BK10" s="37" t="n">
        <f aca="false">BK9*0.997</f>
        <v>1.98403</v>
      </c>
      <c r="BL10" s="1" t="s">
        <v>63</v>
      </c>
    </row>
    <row r="12" customFormat="false" ht="15.75" hidden="false" customHeight="true" outlineLevel="0" collapsed="false">
      <c r="A12" s="38"/>
      <c r="I12" s="38" t="s">
        <v>13</v>
      </c>
      <c r="Q12" s="38" t="s">
        <v>15</v>
      </c>
      <c r="Y12" s="38" t="s">
        <v>17</v>
      </c>
      <c r="AG12" s="38" t="s">
        <v>19</v>
      </c>
      <c r="AO12" s="38" t="s">
        <v>21</v>
      </c>
      <c r="AW12" s="38" t="s">
        <v>23</v>
      </c>
      <c r="BE12" s="38" t="s">
        <v>25</v>
      </c>
    </row>
  </sheetData>
  <mergeCells count="8">
    <mergeCell ref="B1:G1"/>
    <mergeCell ref="J1:O1"/>
    <mergeCell ref="R1:W1"/>
    <mergeCell ref="Z1:AE1"/>
    <mergeCell ref="AH1:AM1"/>
    <mergeCell ref="AP1:AU1"/>
    <mergeCell ref="AX1:BC1"/>
    <mergeCell ref="BF1:BK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5" min="4" style="1" width="11"/>
    <col collapsed="false" customWidth="true" hidden="false" outlineLevel="0" max="6" min="6" style="1" width="9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10" min="9" style="1" width="11"/>
    <col collapsed="false" customWidth="true" hidden="false" outlineLevel="0" max="11" min="11" style="1" width="14"/>
    <col collapsed="false" customWidth="true" hidden="false" outlineLevel="0" max="12" min="12" style="1" width="15"/>
    <col collapsed="false" customWidth="true" hidden="false" outlineLevel="0" max="13" min="13" style="1" width="10"/>
  </cols>
  <sheetData>
    <row r="1" customFormat="false" ht="31.5" hidden="false" customHeight="true" outlineLevel="0" collapsed="false">
      <c r="A1" s="4" t="s">
        <v>2</v>
      </c>
      <c r="B1" s="4" t="s">
        <v>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  <c r="I1" s="4" t="s">
        <v>70</v>
      </c>
      <c r="J1" s="4" t="s">
        <v>71</v>
      </c>
      <c r="K1" s="4" t="s">
        <v>72</v>
      </c>
      <c r="L1" s="4" t="s">
        <v>73</v>
      </c>
      <c r="M1" s="4" t="s">
        <v>74</v>
      </c>
    </row>
    <row r="2" customFormat="false" ht="15" hidden="false" customHeight="true" outlineLevel="0" collapsed="false">
      <c r="A2" s="23" t="s">
        <v>12</v>
      </c>
      <c r="B2" s="23" t="s">
        <v>13</v>
      </c>
      <c r="C2" s="23" t="n">
        <v>1</v>
      </c>
      <c r="D2" s="39" t="n">
        <v>6.88935</v>
      </c>
      <c r="E2" s="39" t="n">
        <v>11.094</v>
      </c>
      <c r="F2" s="40" t="n">
        <v>502</v>
      </c>
      <c r="G2" s="41" t="n">
        <v>229.83280876494</v>
      </c>
      <c r="H2" s="41" t="n">
        <v>6.97537303814215</v>
      </c>
      <c r="I2" s="41" t="n">
        <v>214.04</v>
      </c>
      <c r="J2" s="41" t="n">
        <v>248.89</v>
      </c>
      <c r="K2" s="41" t="n">
        <v>231.588823529412</v>
      </c>
      <c r="L2" s="41" t="n">
        <v>231.084333333333</v>
      </c>
      <c r="M2" s="42" t="n">
        <f aca="false">(L2-K2)/G2</f>
        <v>-0.00219503124375491</v>
      </c>
    </row>
    <row r="3" customFormat="false" ht="15" hidden="false" customHeight="true" outlineLevel="0" collapsed="false">
      <c r="A3" s="23" t="s">
        <v>12</v>
      </c>
      <c r="B3" s="23" t="s">
        <v>13</v>
      </c>
      <c r="C3" s="23" t="n">
        <v>2</v>
      </c>
      <c r="D3" s="39" t="n">
        <v>28.2477333333333</v>
      </c>
      <c r="E3" s="39" t="n">
        <v>32.5431833333333</v>
      </c>
      <c r="F3" s="40" t="n">
        <v>515</v>
      </c>
      <c r="G3" s="41" t="n">
        <v>445.731048543689</v>
      </c>
      <c r="H3" s="41" t="n">
        <v>14.1553439767726</v>
      </c>
      <c r="I3" s="41" t="n">
        <v>416.61</v>
      </c>
      <c r="J3" s="41" t="n">
        <v>485.7</v>
      </c>
      <c r="K3" s="41" t="n">
        <v>450.72425</v>
      </c>
      <c r="L3" s="41" t="n">
        <v>443.910583333333</v>
      </c>
      <c r="M3" s="42" t="n">
        <f aca="false">(L3-K3)/G3</f>
        <v>-0.0152864977410231</v>
      </c>
    </row>
    <row r="4" customFormat="false" ht="15" hidden="false" customHeight="true" outlineLevel="0" collapsed="false">
      <c r="A4" s="23" t="s">
        <v>12</v>
      </c>
      <c r="B4" s="23" t="s">
        <v>13</v>
      </c>
      <c r="C4" s="23" t="n">
        <v>3</v>
      </c>
      <c r="D4" s="39" t="n">
        <v>34.0876833333333</v>
      </c>
      <c r="E4" s="39" t="n">
        <v>38.42225</v>
      </c>
      <c r="F4" s="40" t="n">
        <v>520</v>
      </c>
      <c r="G4" s="41" t="n">
        <v>645.340423076923</v>
      </c>
      <c r="H4" s="41" t="n">
        <v>16.9847418722823</v>
      </c>
      <c r="I4" s="41" t="n">
        <v>613.22</v>
      </c>
      <c r="J4" s="41" t="n">
        <v>684.92</v>
      </c>
      <c r="K4" s="41" t="n">
        <v>646.270666666667</v>
      </c>
      <c r="L4" s="41" t="n">
        <v>641.212583333333</v>
      </c>
      <c r="M4" s="42" t="n">
        <f aca="false">(L4-K4)/G4</f>
        <v>-0.00783785294158013</v>
      </c>
    </row>
    <row r="5" customFormat="false" ht="15" hidden="false" customHeight="true" outlineLevel="0" collapsed="false">
      <c r="A5" s="23" t="s">
        <v>12</v>
      </c>
      <c r="B5" s="23" t="s">
        <v>13</v>
      </c>
      <c r="C5" s="23" t="n">
        <v>4</v>
      </c>
      <c r="D5" s="39" t="n">
        <v>48.2708333333333</v>
      </c>
      <c r="E5" s="39" t="n">
        <v>52.63625</v>
      </c>
      <c r="F5" s="40" t="n">
        <v>524</v>
      </c>
      <c r="G5" s="41" t="n">
        <v>839.301812977099</v>
      </c>
      <c r="H5" s="41" t="n">
        <v>19.6634263180489</v>
      </c>
      <c r="I5" s="41" t="n">
        <v>799.99</v>
      </c>
      <c r="J5" s="41" t="n">
        <v>885.29</v>
      </c>
      <c r="K5" s="41" t="n">
        <v>837.53775</v>
      </c>
      <c r="L5" s="41" t="n">
        <v>840.253833333333</v>
      </c>
      <c r="M5" s="42" t="n">
        <f aca="false">(L5-K5)/G5</f>
        <v>0.00323612232374283</v>
      </c>
    </row>
    <row r="6" customFormat="false" ht="15" hidden="false" customHeight="true" outlineLevel="0" collapsed="false">
      <c r="A6" s="23" t="s">
        <v>12</v>
      </c>
      <c r="B6" s="23" t="s">
        <v>13</v>
      </c>
      <c r="C6" s="23" t="n">
        <v>5</v>
      </c>
      <c r="D6" s="39" t="n">
        <v>55.0278333333333</v>
      </c>
      <c r="E6" s="39" t="n">
        <v>59.3218333333333</v>
      </c>
      <c r="F6" s="40" t="n">
        <v>515</v>
      </c>
      <c r="G6" s="41" t="n">
        <v>1048.43137864078</v>
      </c>
      <c r="H6" s="41" t="n">
        <v>109.996033714496</v>
      </c>
      <c r="I6" s="41" t="n">
        <v>891.91</v>
      </c>
      <c r="J6" s="41" t="n">
        <v>1273.54</v>
      </c>
      <c r="K6" s="41" t="n">
        <v>1206.05075</v>
      </c>
      <c r="L6" s="41" t="n">
        <v>924.397833333333</v>
      </c>
      <c r="M6" s="42" t="n">
        <f aca="false">(L6-K6)/G6</f>
        <v>-0.268642204348949</v>
      </c>
    </row>
    <row r="7" customFormat="false" ht="15" hidden="false" customHeight="true" outlineLevel="0" collapsed="false">
      <c r="A7" s="23" t="s">
        <v>14</v>
      </c>
      <c r="B7" s="23" t="s">
        <v>15</v>
      </c>
      <c r="C7" s="23" t="n">
        <v>1</v>
      </c>
      <c r="D7" s="39" t="n">
        <v>5.61568333333333</v>
      </c>
      <c r="E7" s="39" t="n">
        <v>9.85071666666667</v>
      </c>
      <c r="F7" s="40" t="n">
        <v>506</v>
      </c>
      <c r="G7" s="41" t="n">
        <v>250.293280632411</v>
      </c>
      <c r="H7" s="41" t="n">
        <v>9.62633450222941</v>
      </c>
      <c r="I7" s="41" t="n">
        <v>231.28</v>
      </c>
      <c r="J7" s="41" t="n">
        <v>275.11</v>
      </c>
      <c r="K7" s="41" t="n">
        <v>259.879495798319</v>
      </c>
      <c r="L7" s="41" t="n">
        <v>243.428583333333</v>
      </c>
      <c r="M7" s="42" t="n">
        <f aca="false">(L7-K7)/G7</f>
        <v>-0.0657265445697136</v>
      </c>
    </row>
    <row r="8" customFormat="false" ht="15" hidden="false" customHeight="true" outlineLevel="0" collapsed="false">
      <c r="A8" s="23" t="s">
        <v>14</v>
      </c>
      <c r="B8" s="23" t="s">
        <v>15</v>
      </c>
      <c r="C8" s="23" t="n">
        <v>2</v>
      </c>
      <c r="D8" s="39" t="n">
        <v>11.47335</v>
      </c>
      <c r="E8" s="39" t="n">
        <v>15.78815</v>
      </c>
      <c r="F8" s="40" t="n">
        <v>516</v>
      </c>
      <c r="G8" s="41" t="n">
        <v>494.608333333333</v>
      </c>
      <c r="H8" s="41" t="n">
        <v>9.42327753740309</v>
      </c>
      <c r="I8" s="41" t="n">
        <v>481.18</v>
      </c>
      <c r="J8" s="41" t="n">
        <v>519.32</v>
      </c>
      <c r="K8" s="41" t="n">
        <v>494.219416666667</v>
      </c>
      <c r="L8" s="41" t="n">
        <v>493.767083333333</v>
      </c>
      <c r="M8" s="42" t="n">
        <f aca="false">(L8-K8)/G8</f>
        <v>-0.000914528330498478</v>
      </c>
    </row>
    <row r="9" customFormat="false" ht="15" hidden="false" customHeight="true" outlineLevel="0" collapsed="false">
      <c r="A9" s="23" t="s">
        <v>14</v>
      </c>
      <c r="B9" s="23" t="s">
        <v>15</v>
      </c>
      <c r="C9" s="23" t="n">
        <v>3</v>
      </c>
      <c r="D9" s="39" t="n">
        <v>17.1579166666667</v>
      </c>
      <c r="E9" s="39" t="n">
        <v>21.4955</v>
      </c>
      <c r="F9" s="40" t="n">
        <v>518</v>
      </c>
      <c r="G9" s="41" t="n">
        <v>756.493764478765</v>
      </c>
      <c r="H9" s="41" t="n">
        <v>15.8007180724167</v>
      </c>
      <c r="I9" s="41" t="n">
        <v>733.09</v>
      </c>
      <c r="J9" s="41" t="n">
        <v>792.45</v>
      </c>
      <c r="K9" s="41" t="n">
        <v>749.112166666667</v>
      </c>
      <c r="L9" s="41" t="n">
        <v>763.416333333333</v>
      </c>
      <c r="M9" s="42" t="n">
        <f aca="false">(L9-K9)/G9</f>
        <v>0.0189085057119033</v>
      </c>
    </row>
    <row r="10" customFormat="false" ht="15" hidden="false" customHeight="true" outlineLevel="0" collapsed="false">
      <c r="A10" s="23" t="s">
        <v>14</v>
      </c>
      <c r="B10" s="23" t="s">
        <v>15</v>
      </c>
      <c r="C10" s="23" t="n">
        <v>4</v>
      </c>
      <c r="D10" s="39" t="n">
        <v>22.89955</v>
      </c>
      <c r="E10" s="39" t="n">
        <v>27.23525</v>
      </c>
      <c r="F10" s="40" t="n">
        <v>519</v>
      </c>
      <c r="G10" s="41" t="n">
        <v>1009.40969171484</v>
      </c>
      <c r="H10" s="41" t="n">
        <v>18.0396912214216</v>
      </c>
      <c r="I10" s="41" t="n">
        <v>983.74</v>
      </c>
      <c r="J10" s="41" t="n">
        <v>1056.27</v>
      </c>
      <c r="K10" s="41" t="n">
        <v>1005.87508333333</v>
      </c>
      <c r="L10" s="41" t="n">
        <v>1010.72408333333</v>
      </c>
      <c r="M10" s="42" t="n">
        <f aca="false">(L10-K10)/G10</f>
        <v>0.00480379774416688</v>
      </c>
    </row>
    <row r="11" customFormat="false" ht="15" hidden="false" customHeight="true" outlineLevel="0" collapsed="false">
      <c r="A11" s="23" t="s">
        <v>14</v>
      </c>
      <c r="B11" s="23" t="s">
        <v>15</v>
      </c>
      <c r="C11" s="23" t="n">
        <v>5</v>
      </c>
      <c r="D11" s="39" t="n">
        <v>28.6973833333333</v>
      </c>
      <c r="E11" s="39" t="n">
        <v>32.9646166666667</v>
      </c>
      <c r="F11" s="40" t="n">
        <v>511</v>
      </c>
      <c r="G11" s="41" t="n">
        <v>1533.7540704501</v>
      </c>
      <c r="H11" s="41" t="n">
        <v>34.0960699285918</v>
      </c>
      <c r="I11" s="41" t="n">
        <v>1466.55</v>
      </c>
      <c r="J11" s="41" t="n">
        <v>1631.67</v>
      </c>
      <c r="K11" s="41" t="n">
        <v>1528.61825</v>
      </c>
      <c r="L11" s="41" t="n">
        <v>1525.55625</v>
      </c>
      <c r="M11" s="42" t="n">
        <f aca="false">(L11-K11)/G11</f>
        <v>-0.00199640871962042</v>
      </c>
    </row>
    <row r="12" customFormat="false" ht="15" hidden="false" customHeight="true" outlineLevel="0" collapsed="false">
      <c r="A12" s="23" t="s">
        <v>16</v>
      </c>
      <c r="B12" s="23" t="s">
        <v>17</v>
      </c>
      <c r="C12" s="23" t="n">
        <v>1</v>
      </c>
      <c r="D12" s="39" t="n">
        <v>6.0592</v>
      </c>
      <c r="E12" s="39" t="n">
        <v>10.2959166666667</v>
      </c>
      <c r="F12" s="40" t="n">
        <v>507</v>
      </c>
      <c r="G12" s="41" t="n">
        <v>238.197712031558</v>
      </c>
      <c r="H12" s="41" t="n">
        <v>24.9188148730192</v>
      </c>
      <c r="I12" s="41" t="n">
        <v>174.61</v>
      </c>
      <c r="J12" s="41" t="n">
        <v>278.8</v>
      </c>
      <c r="K12" s="41" t="n">
        <v>240.133025210084</v>
      </c>
      <c r="L12" s="41" t="n">
        <v>237.59275</v>
      </c>
      <c r="M12" s="42" t="n">
        <f aca="false">(L12-K12)/G12</f>
        <v>-0.0106645659541325</v>
      </c>
    </row>
    <row r="13" customFormat="false" ht="15" hidden="false" customHeight="true" outlineLevel="0" collapsed="false">
      <c r="A13" s="23" t="s">
        <v>16</v>
      </c>
      <c r="B13" s="23" t="s">
        <v>17</v>
      </c>
      <c r="C13" s="23" t="n">
        <v>2</v>
      </c>
      <c r="D13" s="39" t="n">
        <v>12.2615833333333</v>
      </c>
      <c r="E13" s="39" t="n">
        <v>16.51995</v>
      </c>
      <c r="F13" s="40" t="n">
        <v>510</v>
      </c>
      <c r="G13" s="41" t="n">
        <v>467.422235294118</v>
      </c>
      <c r="H13" s="41" t="n">
        <v>14.5145395197053</v>
      </c>
      <c r="I13" s="41" t="n">
        <v>440.01</v>
      </c>
      <c r="J13" s="41" t="n">
        <v>524.84</v>
      </c>
      <c r="K13" s="41" t="n">
        <v>468.0965</v>
      </c>
      <c r="L13" s="41" t="n">
        <v>467.14775</v>
      </c>
      <c r="M13" s="42" t="n">
        <f aca="false">(L13-K13)/G13</f>
        <v>-0.00202974939650236</v>
      </c>
    </row>
    <row r="14" customFormat="false" ht="15" hidden="false" customHeight="true" outlineLevel="0" collapsed="false">
      <c r="A14" s="23" t="s">
        <v>16</v>
      </c>
      <c r="B14" s="23" t="s">
        <v>17</v>
      </c>
      <c r="C14" s="23" t="n">
        <v>3</v>
      </c>
      <c r="D14" s="39" t="n">
        <v>18.0576666666667</v>
      </c>
      <c r="E14" s="39" t="n">
        <v>22.3334</v>
      </c>
      <c r="F14" s="40" t="n">
        <v>513</v>
      </c>
      <c r="G14" s="41" t="n">
        <v>687.332124756335</v>
      </c>
      <c r="H14" s="41" t="n">
        <v>16.966639946157</v>
      </c>
      <c r="I14" s="41" t="n">
        <v>660.94</v>
      </c>
      <c r="J14" s="41" t="n">
        <v>728.36</v>
      </c>
      <c r="K14" s="41" t="n">
        <v>686.292583333333</v>
      </c>
      <c r="L14" s="41" t="n">
        <v>685.807333333333</v>
      </c>
      <c r="M14" s="42" t="n">
        <f aca="false">(L14-K14)/G14</f>
        <v>-0.000705990572130016</v>
      </c>
    </row>
    <row r="15" customFormat="false" ht="15" hidden="false" customHeight="true" outlineLevel="0" collapsed="false">
      <c r="A15" s="23" t="s">
        <v>16</v>
      </c>
      <c r="B15" s="23" t="s">
        <v>17</v>
      </c>
      <c r="C15" s="23" t="n">
        <v>4</v>
      </c>
      <c r="D15" s="39" t="n">
        <v>23.8789</v>
      </c>
      <c r="E15" s="39" t="n">
        <v>28.1502333333333</v>
      </c>
      <c r="F15" s="40" t="n">
        <v>512</v>
      </c>
      <c r="G15" s="41" t="n">
        <v>902.32685546875</v>
      </c>
      <c r="H15" s="41" t="n">
        <v>21.9023537162505</v>
      </c>
      <c r="I15" s="41" t="n">
        <v>866.45</v>
      </c>
      <c r="J15" s="41" t="n">
        <v>953.33</v>
      </c>
      <c r="K15" s="41" t="n">
        <v>905.626583333333</v>
      </c>
      <c r="L15" s="41" t="n">
        <v>900.714</v>
      </c>
      <c r="M15" s="42" t="n">
        <f aca="false">(L15-K15)/G15</f>
        <v>-0.00544435013050884</v>
      </c>
    </row>
    <row r="16" customFormat="false" ht="15" hidden="false" customHeight="true" outlineLevel="0" collapsed="false">
      <c r="A16" s="23" t="s">
        <v>16</v>
      </c>
      <c r="B16" s="23" t="s">
        <v>17</v>
      </c>
      <c r="C16" s="23" t="n">
        <v>5</v>
      </c>
      <c r="D16" s="39" t="n">
        <v>31.9589833333333</v>
      </c>
      <c r="E16" s="39" t="n">
        <v>36.2209833333333</v>
      </c>
      <c r="F16" s="40" t="n">
        <v>510</v>
      </c>
      <c r="G16" s="41" t="n">
        <v>1719.254</v>
      </c>
      <c r="H16" s="41" t="n">
        <v>37.7729060090609</v>
      </c>
      <c r="I16" s="41" t="n">
        <v>1659.77</v>
      </c>
      <c r="J16" s="41" t="n">
        <v>1811.69</v>
      </c>
      <c r="K16" s="41" t="n">
        <v>1728.17208333333</v>
      </c>
      <c r="L16" s="41" t="n">
        <v>1710.82</v>
      </c>
      <c r="M16" s="42" t="n">
        <f aca="false">(L16-K16)/G16</f>
        <v>-0.0100927980003711</v>
      </c>
    </row>
    <row r="17" customFormat="false" ht="15" hidden="false" customHeight="true" outlineLevel="0" collapsed="false">
      <c r="A17" s="23" t="s">
        <v>18</v>
      </c>
      <c r="B17" s="23" t="s">
        <v>19</v>
      </c>
      <c r="C17" s="23" t="n">
        <v>1</v>
      </c>
      <c r="D17" s="39" t="n">
        <v>6.60361666666667</v>
      </c>
      <c r="E17" s="39" t="n">
        <v>10.8362333333333</v>
      </c>
      <c r="F17" s="40" t="n">
        <v>504</v>
      </c>
      <c r="G17" s="41" t="n">
        <v>225.830992063492</v>
      </c>
      <c r="H17" s="41" t="n">
        <v>22.1524806514723</v>
      </c>
      <c r="I17" s="41" t="n">
        <v>177.28</v>
      </c>
      <c r="J17" s="41" t="n">
        <v>270.08</v>
      </c>
      <c r="K17" s="41" t="n">
        <v>224.87025210084</v>
      </c>
      <c r="L17" s="41" t="n">
        <v>230.396134453782</v>
      </c>
      <c r="M17" s="42" t="n">
        <f aca="false">(L17-K17)/G17</f>
        <v>0.024469105424593</v>
      </c>
    </row>
    <row r="18" customFormat="false" ht="15" hidden="false" customHeight="true" outlineLevel="0" collapsed="false">
      <c r="A18" s="23" t="s">
        <v>18</v>
      </c>
      <c r="B18" s="23" t="s">
        <v>19</v>
      </c>
      <c r="C18" s="23" t="n">
        <v>2</v>
      </c>
      <c r="D18" s="39" t="n">
        <v>12.1792</v>
      </c>
      <c r="E18" s="39" t="n">
        <v>16.4477833333333</v>
      </c>
      <c r="F18" s="40" t="n">
        <v>509</v>
      </c>
      <c r="G18" s="41" t="n">
        <v>418.244872298625</v>
      </c>
      <c r="H18" s="41" t="n">
        <v>14.0272291670073</v>
      </c>
      <c r="I18" s="41" t="n">
        <v>381.87</v>
      </c>
      <c r="J18" s="41" t="n">
        <v>447.98</v>
      </c>
      <c r="K18" s="41" t="n">
        <v>418.525378151261</v>
      </c>
      <c r="L18" s="41" t="n">
        <v>419.992352941176</v>
      </c>
      <c r="M18" s="42" t="n">
        <f aca="false">(L18-K18)/G18</f>
        <v>0.00350745433375594</v>
      </c>
    </row>
    <row r="19" customFormat="false" ht="15" hidden="false" customHeight="true" outlineLevel="0" collapsed="false">
      <c r="A19" s="23" t="s">
        <v>18</v>
      </c>
      <c r="B19" s="23" t="s">
        <v>19</v>
      </c>
      <c r="C19" s="23" t="n">
        <v>3</v>
      </c>
      <c r="D19" s="39" t="n">
        <v>17.9256833333333</v>
      </c>
      <c r="E19" s="39" t="n">
        <v>22.20055</v>
      </c>
      <c r="F19" s="40" t="n">
        <v>510</v>
      </c>
      <c r="G19" s="41" t="n">
        <v>598.13231372549</v>
      </c>
      <c r="H19" s="41" t="n">
        <v>11.7335875652288</v>
      </c>
      <c r="I19" s="41" t="n">
        <v>579.19</v>
      </c>
      <c r="J19" s="41" t="n">
        <v>626.84</v>
      </c>
      <c r="K19" s="41" t="n">
        <v>597.36705882353</v>
      </c>
      <c r="L19" s="41" t="n">
        <v>597.065294117647</v>
      </c>
      <c r="M19" s="42" t="n">
        <f aca="false">(L19-K19)/G19</f>
        <v>-0.000504511625535552</v>
      </c>
    </row>
    <row r="20" customFormat="false" ht="15" hidden="false" customHeight="true" outlineLevel="0" collapsed="false">
      <c r="A20" s="23" t="s">
        <v>18</v>
      </c>
      <c r="B20" s="23" t="s">
        <v>19</v>
      </c>
      <c r="C20" s="23" t="n">
        <v>4</v>
      </c>
      <c r="D20" s="39" t="n">
        <v>23.6880166666667</v>
      </c>
      <c r="E20" s="39" t="n">
        <v>27.9613166666667</v>
      </c>
      <c r="F20" s="40" t="n">
        <v>509</v>
      </c>
      <c r="G20" s="41" t="n">
        <v>768.113045186641</v>
      </c>
      <c r="H20" s="41" t="n">
        <v>14.953769359957</v>
      </c>
      <c r="I20" s="41" t="n">
        <v>740.78</v>
      </c>
      <c r="J20" s="41" t="n">
        <v>802.21</v>
      </c>
      <c r="K20" s="41" t="n">
        <v>770.733781512605</v>
      </c>
      <c r="L20" s="41" t="n">
        <v>767.122166666667</v>
      </c>
      <c r="M20" s="42" t="n">
        <f aca="false">(L20-K20)/G20</f>
        <v>-0.00470193140003295</v>
      </c>
    </row>
    <row r="21" customFormat="false" ht="15" hidden="false" customHeight="true" outlineLevel="0" collapsed="false">
      <c r="A21" s="23" t="s">
        <v>18</v>
      </c>
      <c r="B21" s="23" t="s">
        <v>19</v>
      </c>
      <c r="C21" s="23" t="n">
        <v>5</v>
      </c>
      <c r="D21" s="39" t="n">
        <v>29.2553666666667</v>
      </c>
      <c r="E21" s="39" t="n">
        <v>33.5205</v>
      </c>
      <c r="F21" s="40" t="n">
        <v>508</v>
      </c>
      <c r="G21" s="41" t="n">
        <v>1346.0425</v>
      </c>
      <c r="H21" s="41" t="n">
        <v>23.8832913925535</v>
      </c>
      <c r="I21" s="41" t="n">
        <v>1306.05</v>
      </c>
      <c r="J21" s="41" t="n">
        <v>1408.75</v>
      </c>
      <c r="K21" s="41" t="n">
        <v>1350.52277310924</v>
      </c>
      <c r="L21" s="41" t="n">
        <v>1341.70705882353</v>
      </c>
      <c r="M21" s="42" t="n">
        <f aca="false">(L21-K21)/G21</f>
        <v>-0.00654935805200066</v>
      </c>
    </row>
    <row r="22" customFormat="false" ht="15" hidden="false" customHeight="true" outlineLevel="0" collapsed="false">
      <c r="A22" s="23" t="s">
        <v>20</v>
      </c>
      <c r="B22" s="23" t="s">
        <v>21</v>
      </c>
      <c r="C22" s="23" t="n">
        <v>1</v>
      </c>
      <c r="D22" s="39" t="n">
        <v>5.77251666666667</v>
      </c>
      <c r="E22" s="39" t="n">
        <v>9.99336666666667</v>
      </c>
      <c r="F22" s="40" t="n">
        <v>504</v>
      </c>
      <c r="G22" s="41" t="n">
        <v>247.304067460318</v>
      </c>
      <c r="H22" s="41" t="n">
        <v>11.7759958328914</v>
      </c>
      <c r="I22" s="41" t="n">
        <v>167.69</v>
      </c>
      <c r="J22" s="41" t="n">
        <v>313.57</v>
      </c>
      <c r="K22" s="41" t="n">
        <v>245.762833333333</v>
      </c>
      <c r="L22" s="41" t="n">
        <v>244.12375</v>
      </c>
      <c r="M22" s="42" t="n">
        <f aca="false">(L22-K22)/G22</f>
        <v>-0.00662780580265222</v>
      </c>
    </row>
    <row r="23" customFormat="false" ht="15" hidden="false" customHeight="true" outlineLevel="0" collapsed="false">
      <c r="A23" s="23" t="s">
        <v>20</v>
      </c>
      <c r="B23" s="23" t="s">
        <v>21</v>
      </c>
      <c r="C23" s="23" t="n">
        <v>2</v>
      </c>
      <c r="D23" s="39" t="n">
        <v>13.01045</v>
      </c>
      <c r="E23" s="39" t="n">
        <v>17.30135</v>
      </c>
      <c r="F23" s="40" t="n">
        <v>512</v>
      </c>
      <c r="G23" s="41" t="n">
        <v>497.30732421875</v>
      </c>
      <c r="H23" s="41" t="n">
        <v>15.136323765415</v>
      </c>
      <c r="I23" s="41" t="n">
        <v>472.45</v>
      </c>
      <c r="J23" s="41" t="n">
        <v>530.98</v>
      </c>
      <c r="K23" s="41" t="n">
        <v>502.61974789916</v>
      </c>
      <c r="L23" s="41" t="n">
        <v>492.216083333333</v>
      </c>
      <c r="M23" s="42" t="n">
        <f aca="false">(L23-K23)/G23</f>
        <v>-0.0209199906359126</v>
      </c>
    </row>
    <row r="24" customFormat="false" ht="15" hidden="false" customHeight="true" outlineLevel="0" collapsed="false">
      <c r="A24" s="23" t="s">
        <v>20</v>
      </c>
      <c r="B24" s="23" t="s">
        <v>21</v>
      </c>
      <c r="C24" s="23" t="n">
        <v>3</v>
      </c>
      <c r="D24" s="39" t="n">
        <v>19.0548333333333</v>
      </c>
      <c r="E24" s="39" t="n">
        <v>23.3717833333333</v>
      </c>
      <c r="F24" s="40" t="n">
        <v>515</v>
      </c>
      <c r="G24" s="41" t="n">
        <v>747.279029126214</v>
      </c>
      <c r="H24" s="41" t="n">
        <v>19.1846976306661</v>
      </c>
      <c r="I24" s="41" t="n">
        <v>718.88</v>
      </c>
      <c r="J24" s="41" t="n">
        <v>806.68</v>
      </c>
      <c r="K24" s="41" t="n">
        <v>752.861512605042</v>
      </c>
      <c r="L24" s="41" t="n">
        <v>745.420583333333</v>
      </c>
      <c r="M24" s="42" t="n">
        <f aca="false">(L24-K24)/G24</f>
        <v>-0.00995736395869376</v>
      </c>
    </row>
    <row r="25" customFormat="false" ht="15" hidden="false" customHeight="true" outlineLevel="0" collapsed="false">
      <c r="A25" s="23" t="s">
        <v>20</v>
      </c>
      <c r="B25" s="23" t="s">
        <v>21</v>
      </c>
      <c r="C25" s="23" t="n">
        <v>4</v>
      </c>
      <c r="D25" s="39" t="n">
        <v>25.2928333333333</v>
      </c>
      <c r="E25" s="39" t="n">
        <v>29.6107833333333</v>
      </c>
      <c r="F25" s="40" t="n">
        <v>514</v>
      </c>
      <c r="G25" s="41" t="n">
        <v>997.292937743191</v>
      </c>
      <c r="H25" s="41" t="n">
        <v>25.174969098901</v>
      </c>
      <c r="I25" s="41" t="n">
        <v>948.29</v>
      </c>
      <c r="J25" s="41" t="n">
        <v>1127.36</v>
      </c>
      <c r="K25" s="41" t="n">
        <v>1003.64537815126</v>
      </c>
      <c r="L25" s="41" t="n">
        <v>991.478067226891</v>
      </c>
      <c r="M25" s="42" t="n">
        <f aca="false">(L25-K25)/G25</f>
        <v>-0.0122003379988862</v>
      </c>
    </row>
    <row r="26" customFormat="false" ht="15" hidden="false" customHeight="true" outlineLevel="0" collapsed="false">
      <c r="A26" s="23" t="s">
        <v>20</v>
      </c>
      <c r="B26" s="23" t="s">
        <v>21</v>
      </c>
      <c r="C26" s="23" t="n">
        <v>5</v>
      </c>
      <c r="D26" s="39" t="n">
        <v>31.7095333333333</v>
      </c>
      <c r="E26" s="39" t="n">
        <v>35.9933666666667</v>
      </c>
      <c r="F26" s="40" t="n">
        <v>509</v>
      </c>
      <c r="G26" s="41" t="n">
        <v>2031.3463064833</v>
      </c>
      <c r="H26" s="41" t="n">
        <v>50.6178109050487</v>
      </c>
      <c r="I26" s="41" t="n">
        <v>1950.73</v>
      </c>
      <c r="J26" s="41" t="n">
        <v>2145.21</v>
      </c>
      <c r="K26" s="41" t="n">
        <v>2047.35882352941</v>
      </c>
      <c r="L26" s="41" t="n">
        <v>2020.11932773109</v>
      </c>
      <c r="M26" s="42" t="n">
        <f aca="false">(L26-K26)/G26</f>
        <v>-0.0134095775355398</v>
      </c>
    </row>
    <row r="27" customFormat="false" ht="15" hidden="false" customHeight="true" outlineLevel="0" collapsed="false">
      <c r="A27" s="23" t="s">
        <v>22</v>
      </c>
      <c r="B27" s="23" t="s">
        <v>23</v>
      </c>
      <c r="C27" s="23" t="n">
        <v>1</v>
      </c>
      <c r="D27" s="39" t="n">
        <v>6.1269</v>
      </c>
      <c r="E27" s="39" t="n">
        <v>10.34375</v>
      </c>
      <c r="F27" s="40" t="n">
        <v>504</v>
      </c>
      <c r="G27" s="41" t="n">
        <v>242.136011904762</v>
      </c>
      <c r="H27" s="41" t="n">
        <v>8.06574474787234</v>
      </c>
      <c r="I27" s="41" t="n">
        <v>228.91</v>
      </c>
      <c r="J27" s="41" t="n">
        <v>262.71</v>
      </c>
      <c r="K27" s="41" t="n">
        <v>244.682333333333</v>
      </c>
      <c r="L27" s="41" t="n">
        <v>237.59775</v>
      </c>
      <c r="M27" s="42" t="n">
        <f aca="false">(L27-K27)/G27</f>
        <v>-0.02925869339964</v>
      </c>
    </row>
    <row r="28" customFormat="false" ht="15" hidden="false" customHeight="true" outlineLevel="0" collapsed="false">
      <c r="A28" s="23" t="s">
        <v>22</v>
      </c>
      <c r="B28" s="23" t="s">
        <v>23</v>
      </c>
      <c r="C28" s="23" t="n">
        <v>2</v>
      </c>
      <c r="D28" s="39" t="n">
        <v>11.8459333333333</v>
      </c>
      <c r="E28" s="39" t="n">
        <v>16.11745</v>
      </c>
      <c r="F28" s="40" t="n">
        <v>509</v>
      </c>
      <c r="G28" s="41" t="n">
        <v>477.425422396857</v>
      </c>
      <c r="H28" s="41" t="n">
        <v>12.06636718306</v>
      </c>
      <c r="I28" s="41" t="n">
        <v>458.59</v>
      </c>
      <c r="J28" s="41" t="n">
        <v>508.07</v>
      </c>
      <c r="K28" s="41" t="n">
        <v>479.649663865546</v>
      </c>
      <c r="L28" s="41" t="n">
        <v>473.886638655462</v>
      </c>
      <c r="M28" s="42" t="n">
        <f aca="false">(L28-K28)/G28</f>
        <v>-0.0120710480417056</v>
      </c>
    </row>
    <row r="29" customFormat="false" ht="15" hidden="false" customHeight="true" outlineLevel="0" collapsed="false">
      <c r="A29" s="23" t="s">
        <v>22</v>
      </c>
      <c r="B29" s="23" t="s">
        <v>23</v>
      </c>
      <c r="C29" s="23" t="n">
        <v>3</v>
      </c>
      <c r="D29" s="39" t="n">
        <v>17.5463</v>
      </c>
      <c r="E29" s="39" t="n">
        <v>21.8297</v>
      </c>
      <c r="F29" s="40" t="n">
        <v>510</v>
      </c>
      <c r="G29" s="41" t="n">
        <v>712.821980392157</v>
      </c>
      <c r="H29" s="41" t="n">
        <v>17.5392257716124</v>
      </c>
      <c r="I29" s="41" t="n">
        <v>682.37</v>
      </c>
      <c r="J29" s="41" t="n">
        <v>749.94</v>
      </c>
      <c r="K29" s="41" t="n">
        <v>714.522857142857</v>
      </c>
      <c r="L29" s="41" t="n">
        <v>715.639327731092</v>
      </c>
      <c r="M29" s="42" t="n">
        <f aca="false">(L29-K29)/G29</f>
        <v>0.00156626846386069</v>
      </c>
    </row>
    <row r="30" customFormat="false" ht="15" hidden="false" customHeight="true" outlineLevel="0" collapsed="false">
      <c r="A30" s="23" t="s">
        <v>22</v>
      </c>
      <c r="B30" s="23" t="s">
        <v>23</v>
      </c>
      <c r="C30" s="23" t="n">
        <v>4</v>
      </c>
      <c r="D30" s="39" t="n">
        <v>23.8115666666667</v>
      </c>
      <c r="E30" s="39" t="n">
        <v>28.0929333333333</v>
      </c>
      <c r="F30" s="40" t="n">
        <v>509</v>
      </c>
      <c r="G30" s="41" t="n">
        <v>939.073870333988</v>
      </c>
      <c r="H30" s="41" t="n">
        <v>21.7905477176125</v>
      </c>
      <c r="I30" s="41" t="n">
        <v>901.26</v>
      </c>
      <c r="J30" s="41" t="n">
        <v>987.39</v>
      </c>
      <c r="K30" s="41" t="n">
        <v>939.964537815126</v>
      </c>
      <c r="L30" s="41" t="n">
        <v>939.543613445378</v>
      </c>
      <c r="M30" s="42" t="n">
        <f aca="false">(L30-K30)/G30</f>
        <v>-0.000448233502225263</v>
      </c>
    </row>
    <row r="31" customFormat="false" ht="15" hidden="false" customHeight="true" outlineLevel="0" collapsed="false">
      <c r="A31" s="23" t="s">
        <v>22</v>
      </c>
      <c r="B31" s="23" t="s">
        <v>23</v>
      </c>
      <c r="C31" s="23" t="n">
        <v>5</v>
      </c>
      <c r="D31" s="39" t="n">
        <v>29.4303</v>
      </c>
      <c r="E31" s="39" t="n">
        <v>33.6941666666667</v>
      </c>
      <c r="F31" s="40" t="n">
        <v>507</v>
      </c>
      <c r="G31" s="41" t="n">
        <v>1833.60120315582</v>
      </c>
      <c r="H31" s="41" t="n">
        <v>41.0698267623408</v>
      </c>
      <c r="I31" s="41" t="n">
        <v>1763.92</v>
      </c>
      <c r="J31" s="41" t="n">
        <v>1920.86</v>
      </c>
      <c r="K31" s="41" t="n">
        <v>1844.33924369748</v>
      </c>
      <c r="L31" s="41" t="n">
        <v>1834.3518487395</v>
      </c>
      <c r="M31" s="42" t="n">
        <f aca="false">(L31-K31)/G31</f>
        <v>-0.00544687412987662</v>
      </c>
    </row>
    <row r="32" customFormat="false" ht="15" hidden="false" customHeight="true" outlineLevel="0" collapsed="false">
      <c r="A32" s="23" t="s">
        <v>24</v>
      </c>
      <c r="B32" s="23" t="s">
        <v>25</v>
      </c>
      <c r="C32" s="23" t="n">
        <v>1</v>
      </c>
      <c r="D32" s="39" t="n">
        <v>6.09631666666667</v>
      </c>
      <c r="E32" s="39" t="n">
        <v>10.3180333333333</v>
      </c>
      <c r="F32" s="40" t="n">
        <v>505</v>
      </c>
      <c r="G32" s="41" t="n">
        <v>260.263841584158</v>
      </c>
      <c r="H32" s="41" t="n">
        <v>9.00628373530872</v>
      </c>
      <c r="I32" s="41" t="n">
        <v>243.26</v>
      </c>
      <c r="J32" s="41" t="n">
        <v>285.12</v>
      </c>
      <c r="K32" s="41" t="n">
        <v>256.534</v>
      </c>
      <c r="L32" s="41" t="n">
        <v>265.517833333333</v>
      </c>
      <c r="M32" s="42" t="n">
        <f aca="false">(L32-K32)/G32</f>
        <v>0.0345181769340326</v>
      </c>
    </row>
    <row r="33" customFormat="false" ht="15" hidden="false" customHeight="true" outlineLevel="0" collapsed="false">
      <c r="A33" s="23" t="s">
        <v>24</v>
      </c>
      <c r="B33" s="23" t="s">
        <v>25</v>
      </c>
      <c r="C33" s="23" t="n">
        <v>2</v>
      </c>
      <c r="D33" s="39" t="n">
        <v>11.6201166666667</v>
      </c>
      <c r="E33" s="39" t="n">
        <v>15.9159333333333</v>
      </c>
      <c r="F33" s="40" t="n">
        <v>513</v>
      </c>
      <c r="G33" s="41" t="n">
        <v>523.970409356725</v>
      </c>
      <c r="H33" s="41" t="n">
        <v>16.3370838588711</v>
      </c>
      <c r="I33" s="41" t="n">
        <v>499.77</v>
      </c>
      <c r="J33" s="41" t="n">
        <v>558.94</v>
      </c>
      <c r="K33" s="41" t="n">
        <v>523.3865</v>
      </c>
      <c r="L33" s="41" t="n">
        <v>527.804583333333</v>
      </c>
      <c r="M33" s="42" t="n">
        <f aca="false">(L33-K33)/G33</f>
        <v>0.00843193290009844</v>
      </c>
    </row>
    <row r="34" customFormat="false" ht="15" hidden="false" customHeight="true" outlineLevel="0" collapsed="false">
      <c r="A34" s="23" t="s">
        <v>24</v>
      </c>
      <c r="B34" s="23" t="s">
        <v>25</v>
      </c>
      <c r="C34" s="23" t="n">
        <v>3</v>
      </c>
      <c r="D34" s="39" t="n">
        <v>17.1678333333333</v>
      </c>
      <c r="E34" s="39" t="n">
        <v>21.49045</v>
      </c>
      <c r="F34" s="40" t="n">
        <v>516</v>
      </c>
      <c r="G34" s="41" t="n">
        <v>802.155988372093</v>
      </c>
      <c r="H34" s="41" t="n">
        <v>20.6217716977291</v>
      </c>
      <c r="I34" s="41" t="n">
        <v>767.12</v>
      </c>
      <c r="J34" s="41" t="n">
        <v>854.33</v>
      </c>
      <c r="K34" s="41" t="n">
        <v>791.265294117647</v>
      </c>
      <c r="L34" s="41" t="n">
        <v>811.13294117647</v>
      </c>
      <c r="M34" s="42" t="n">
        <f aca="false">(L34-K34)/G34</f>
        <v>0.0247678099357491</v>
      </c>
    </row>
    <row r="35" customFormat="false" ht="15" hidden="false" customHeight="true" outlineLevel="0" collapsed="false">
      <c r="A35" s="23" t="s">
        <v>24</v>
      </c>
      <c r="B35" s="23" t="s">
        <v>25</v>
      </c>
      <c r="C35" s="23" t="n">
        <v>4</v>
      </c>
      <c r="D35" s="39" t="n">
        <v>23.4953666666667</v>
      </c>
      <c r="E35" s="39" t="n">
        <v>27.8128833333333</v>
      </c>
      <c r="F35" s="40" t="n">
        <v>515</v>
      </c>
      <c r="G35" s="41" t="n">
        <v>1129.59095145631</v>
      </c>
      <c r="H35" s="41" t="n">
        <v>30.9606751337078</v>
      </c>
      <c r="I35" s="41" t="n">
        <v>1045.2</v>
      </c>
      <c r="J35" s="41" t="n">
        <v>1203.86</v>
      </c>
      <c r="K35" s="41" t="n">
        <v>1111.93546218487</v>
      </c>
      <c r="L35" s="41" t="n">
        <v>1147.23333333333</v>
      </c>
      <c r="M35" s="42" t="n">
        <f aca="false">(L35-K35)/G35</f>
        <v>0.0312483657052605</v>
      </c>
    </row>
    <row r="36" customFormat="false" ht="15" hidden="false" customHeight="true" outlineLevel="0" collapsed="false">
      <c r="A36" s="23" t="s">
        <v>24</v>
      </c>
      <c r="B36" s="23" t="s">
        <v>25</v>
      </c>
      <c r="C36" s="23" t="n">
        <v>5</v>
      </c>
      <c r="D36" s="39" t="n">
        <v>29.04735</v>
      </c>
      <c r="E36" s="39" t="n">
        <v>33.33495</v>
      </c>
      <c r="F36" s="40" t="n">
        <v>511</v>
      </c>
      <c r="G36" s="41" t="n">
        <v>2269.31485322896</v>
      </c>
      <c r="H36" s="41" t="n">
        <v>67.9314454253437</v>
      </c>
      <c r="I36" s="41" t="n">
        <v>2120.67</v>
      </c>
      <c r="J36" s="41" t="n">
        <v>2438.89</v>
      </c>
      <c r="K36" s="41" t="n">
        <v>2318.95478991597</v>
      </c>
      <c r="L36" s="41" t="n">
        <v>2210.4674789916</v>
      </c>
      <c r="M36" s="42" t="n">
        <f aca="false">(L36-K36)/G36</f>
        <v>-0.0478061961168615</v>
      </c>
    </row>
    <row r="38" customFormat="false" ht="15" hidden="false" customHeight="true" outlineLevel="0" collapsed="false">
      <c r="A38" s="43" t="s">
        <v>75</v>
      </c>
    </row>
    <row r="39" customFormat="false" ht="15" hidden="false" customHeight="true" outlineLevel="0" collapsed="false">
      <c r="A39" s="44" t="s">
        <v>76</v>
      </c>
    </row>
    <row r="40" customFormat="false" ht="15" hidden="false" customHeight="true" outlineLevel="0" collapsed="false">
      <c r="A40" s="44" t="s">
        <v>77</v>
      </c>
    </row>
    <row r="41" customFormat="false" ht="15" hidden="false" customHeight="true" outlineLevel="0" collapsed="false">
      <c r="A41" s="44" t="s">
        <v>78</v>
      </c>
    </row>
    <row r="42" customFormat="false" ht="15" hidden="false" customHeight="true" outlineLevel="0" collapsed="false">
      <c r="A42" s="44" t="s">
        <v>79</v>
      </c>
    </row>
    <row r="43" customFormat="false" ht="15" hidden="false" customHeight="true" outlineLevel="0" collapsed="false">
      <c r="A43" s="4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sheetData>
    <row r="1" customFormat="false" ht="15" hidden="false" customHeight="true" outlineLevel="0" collapsed="false">
      <c r="A1" s="2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2026-09-28T14:49:44Z</dcterms:created>
  <dc:creator>TU-Pseudonym 3024366582753254</dc:creator>
  <dc:description/>
  <dc:language>en-US</dc:language>
  <cp:lastModifiedBy>TU-Pseudonym 3024366582753254</cp:lastModifiedBy>
  <dcterms:modified xsi:type="dcterms:W3CDTF">2026-09-30T14:18:37Z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