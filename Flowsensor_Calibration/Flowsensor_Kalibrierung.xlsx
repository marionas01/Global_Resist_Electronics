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nas/Desktop/Global_Resist_Electronics/"/>
    </mc:Choice>
  </mc:AlternateContent>
  <xr:revisionPtr revIDLastSave="0" documentId="13_ncr:1_{6E128426-C3C0-F342-8B37-F283E4BF18CF}" xr6:coauthVersionLast="47" xr6:coauthVersionMax="47" xr10:uidLastSave="{00000000-0000-0000-0000-000000000000}"/>
  <bookViews>
    <workbookView xWindow="0" yWindow="660" windowWidth="29400" windowHeight="17240" xr2:uid="{CE5EBA08-C7EE-8A4C-970D-692B2F4457A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9" i="1" l="1"/>
  <c r="AQ10" i="1" s="1"/>
  <c r="AR9" i="1"/>
  <c r="AR10" i="1" s="1"/>
  <c r="AS9" i="1"/>
  <c r="AS10" i="1" s="1"/>
  <c r="AT9" i="1"/>
  <c r="AT10" i="1" s="1"/>
  <c r="AU9" i="1"/>
  <c r="AU10" i="1" s="1"/>
  <c r="AY9" i="1"/>
  <c r="AY10" i="1" s="1"/>
  <c r="AZ9" i="1"/>
  <c r="AZ10" i="1" s="1"/>
  <c r="BA9" i="1"/>
  <c r="BA10" i="1" s="1"/>
  <c r="BB9" i="1"/>
  <c r="BB10" i="1" s="1"/>
  <c r="BC9" i="1"/>
  <c r="BC10" i="1" s="1"/>
  <c r="BG9" i="1"/>
  <c r="BG10" i="1" s="1"/>
  <c r="BH9" i="1"/>
  <c r="BH10" i="1" s="1"/>
  <c r="BI9" i="1"/>
  <c r="BI10" i="1" s="1"/>
  <c r="BJ9" i="1"/>
  <c r="BJ10" i="1" s="1"/>
  <c r="BK9" i="1"/>
  <c r="BK10" i="1" s="1"/>
  <c r="N10" i="1"/>
  <c r="M10" i="1"/>
  <c r="L10" i="1"/>
  <c r="K10" i="1"/>
  <c r="BF9" i="1"/>
  <c r="BF10" i="1" s="1"/>
  <c r="AX9" i="1"/>
  <c r="AX10" i="1" s="1"/>
  <c r="AP9" i="1"/>
  <c r="AP10" i="1" s="1"/>
  <c r="AI9" i="1"/>
  <c r="AI10" i="1" s="1"/>
  <c r="AJ9" i="1"/>
  <c r="AJ10" i="1" s="1"/>
  <c r="AK9" i="1"/>
  <c r="AK10" i="1" s="1"/>
  <c r="AL9" i="1"/>
  <c r="AL10" i="1" s="1"/>
  <c r="AM9" i="1"/>
  <c r="AM10" i="1" s="1"/>
  <c r="AH9" i="1"/>
  <c r="AH10" i="1" s="1"/>
  <c r="AA9" i="1"/>
  <c r="AA10" i="1" s="1"/>
  <c r="AB9" i="1"/>
  <c r="AB10" i="1" s="1"/>
  <c r="AC9" i="1"/>
  <c r="AC10" i="1" s="1"/>
  <c r="AD9" i="1"/>
  <c r="AD10" i="1" s="1"/>
  <c r="AE9" i="1"/>
  <c r="AE10" i="1" s="1"/>
  <c r="Z9" i="1"/>
  <c r="Z10" i="1" s="1"/>
  <c r="W9" i="1"/>
  <c r="W10" i="1" s="1"/>
  <c r="V9" i="1"/>
  <c r="V10" i="1" s="1"/>
  <c r="U9" i="1"/>
  <c r="U10" i="1" s="1"/>
  <c r="T9" i="1"/>
  <c r="T10" i="1" s="1"/>
  <c r="S9" i="1"/>
  <c r="S10" i="1" s="1"/>
  <c r="R9" i="1"/>
  <c r="R10" i="1" s="1"/>
  <c r="G9" i="1"/>
  <c r="G10" i="1" s="1"/>
  <c r="F9" i="1"/>
  <c r="F10" i="1" s="1"/>
  <c r="E9" i="1"/>
  <c r="E10" i="1" s="1"/>
  <c r="D9" i="1"/>
  <c r="D10" i="1" s="1"/>
  <c r="C9" i="1"/>
  <c r="C10" i="1" s="1"/>
  <c r="O9" i="1"/>
  <c r="O10" i="1" s="1"/>
  <c r="N9" i="1"/>
  <c r="M9" i="1"/>
  <c r="L9" i="1"/>
  <c r="K9" i="1"/>
  <c r="J9" i="1"/>
  <c r="J10" i="1" s="1"/>
  <c r="B9" i="1"/>
  <c r="B10" i="1" s="1"/>
</calcChain>
</file>

<file path=xl/sharedStrings.xml><?xml version="1.0" encoding="utf-8"?>
<sst xmlns="http://schemas.openxmlformats.org/spreadsheetml/2006/main" count="63" uniqueCount="21">
  <si>
    <t>Channel: 0</t>
  </si>
  <si>
    <t>Zeit [min]</t>
  </si>
  <si>
    <t>V-Flow [ul/min]</t>
  </si>
  <si>
    <t>Channel: 1</t>
  </si>
  <si>
    <t>Channel: 2</t>
  </si>
  <si>
    <t>Channel: 3</t>
  </si>
  <si>
    <t>Channel: 4</t>
  </si>
  <si>
    <t>Channel: 5</t>
  </si>
  <si>
    <t>Channel: 6</t>
  </si>
  <si>
    <t>Channel: 7</t>
  </si>
  <si>
    <t>[g]</t>
  </si>
  <si>
    <t>[ml]</t>
  </si>
  <si>
    <t>ΜW/min</t>
  </si>
  <si>
    <t>MW/min</t>
  </si>
  <si>
    <t>#027</t>
  </si>
  <si>
    <t>#028</t>
  </si>
  <si>
    <t>#029</t>
  </si>
  <si>
    <t>#031</t>
  </si>
  <si>
    <t>#032</t>
  </si>
  <si>
    <t>#034</t>
  </si>
  <si>
    <t>#035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</si>
</sst>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B35F-B775-654D-97EA-B06FB8E9786A}">
  <dimension ref="A1:BL12"/>
  <sheetViews>
    <sheetView tabSelected="1" topLeftCell="AR1" workbookViewId="0">
      <selection activeCell="BK9" sqref="BK9"/>
    </sheetView>
  </sheetViews>
  <sheetFormatPr baseColWidth="10" defaultRowHeight="16" x14ac:dyDescent="0.2"/>
  <sheetData>
    <row r="1" spans="1:64" x14ac:dyDescent="0.2">
      <c r="A1" t="s">
        <v>0</v>
      </c>
      <c r="B1" s="4" t="s">
        <v>2</v>
      </c>
      <c r="C1" s="4"/>
      <c r="D1" s="4"/>
      <c r="E1" s="4"/>
      <c r="F1" s="4"/>
      <c r="G1" s="4"/>
      <c r="I1" t="s">
        <v>3</v>
      </c>
      <c r="J1" s="4" t="s">
        <v>2</v>
      </c>
      <c r="K1" s="4"/>
      <c r="L1" s="4"/>
      <c r="M1" s="4"/>
      <c r="N1" s="4"/>
      <c r="O1" s="4"/>
      <c r="Q1" t="s">
        <v>4</v>
      </c>
      <c r="R1" s="4" t="s">
        <v>2</v>
      </c>
      <c r="S1" s="4"/>
      <c r="T1" s="4"/>
      <c r="U1" s="4"/>
      <c r="V1" s="4"/>
      <c r="W1" s="4"/>
      <c r="Y1" t="s">
        <v>5</v>
      </c>
      <c r="Z1" s="4" t="s">
        <v>2</v>
      </c>
      <c r="AA1" s="4"/>
      <c r="AB1" s="4"/>
      <c r="AC1" s="4"/>
      <c r="AD1" s="4"/>
      <c r="AE1" s="4"/>
      <c r="AG1" t="s">
        <v>6</v>
      </c>
      <c r="AH1" s="4" t="s">
        <v>2</v>
      </c>
      <c r="AI1" s="4"/>
      <c r="AJ1" s="4"/>
      <c r="AK1" s="4"/>
      <c r="AL1" s="4"/>
      <c r="AM1" s="4"/>
      <c r="AO1" t="s">
        <v>7</v>
      </c>
      <c r="AP1" s="4" t="s">
        <v>2</v>
      </c>
      <c r="AQ1" s="4"/>
      <c r="AR1" s="4"/>
      <c r="AS1" s="4"/>
      <c r="AT1" s="4"/>
      <c r="AU1" s="4"/>
      <c r="AW1" t="s">
        <v>8</v>
      </c>
      <c r="AX1" s="4" t="s">
        <v>2</v>
      </c>
      <c r="AY1" s="4"/>
      <c r="AZ1" s="4"/>
      <c r="BA1" s="4"/>
      <c r="BB1" s="4"/>
      <c r="BC1" s="4"/>
      <c r="BE1" t="s">
        <v>9</v>
      </c>
      <c r="BF1" s="4" t="s">
        <v>2</v>
      </c>
      <c r="BG1" s="4"/>
      <c r="BH1" s="4"/>
      <c r="BI1" s="4"/>
      <c r="BJ1" s="4"/>
      <c r="BK1" s="4"/>
    </row>
    <row r="2" spans="1:64" x14ac:dyDescent="0.2">
      <c r="A2" t="s">
        <v>1</v>
      </c>
      <c r="B2">
        <v>0</v>
      </c>
      <c r="C2">
        <v>250</v>
      </c>
      <c r="D2">
        <v>500</v>
      </c>
      <c r="E2">
        <v>750</v>
      </c>
      <c r="F2">
        <v>1000</v>
      </c>
      <c r="G2">
        <v>2000</v>
      </c>
      <c r="I2" t="s">
        <v>1</v>
      </c>
      <c r="J2">
        <v>0</v>
      </c>
      <c r="K2">
        <v>250</v>
      </c>
      <c r="L2">
        <v>500</v>
      </c>
      <c r="M2">
        <v>750</v>
      </c>
      <c r="N2">
        <v>1000</v>
      </c>
      <c r="O2">
        <v>2000</v>
      </c>
      <c r="Q2" t="s">
        <v>1</v>
      </c>
      <c r="R2">
        <v>0</v>
      </c>
      <c r="S2">
        <v>250</v>
      </c>
      <c r="T2">
        <v>500</v>
      </c>
      <c r="U2">
        <v>750</v>
      </c>
      <c r="V2">
        <v>1000</v>
      </c>
      <c r="W2">
        <v>1500</v>
      </c>
      <c r="Y2" t="s">
        <v>1</v>
      </c>
      <c r="Z2">
        <v>0</v>
      </c>
      <c r="AA2">
        <v>250</v>
      </c>
      <c r="AB2">
        <v>500</v>
      </c>
      <c r="AC2">
        <v>750</v>
      </c>
      <c r="AD2">
        <v>1000</v>
      </c>
      <c r="AE2">
        <v>2000</v>
      </c>
      <c r="AG2" t="s">
        <v>1</v>
      </c>
      <c r="AH2">
        <v>0</v>
      </c>
      <c r="AI2">
        <v>250</v>
      </c>
      <c r="AJ2">
        <v>500</v>
      </c>
      <c r="AK2">
        <v>750</v>
      </c>
      <c r="AL2">
        <v>1000</v>
      </c>
      <c r="AM2">
        <v>2000</v>
      </c>
      <c r="AO2" t="s">
        <v>1</v>
      </c>
      <c r="AP2">
        <v>0</v>
      </c>
      <c r="AQ2">
        <v>250</v>
      </c>
      <c r="AR2">
        <v>500</v>
      </c>
      <c r="AS2">
        <v>750</v>
      </c>
      <c r="AT2">
        <v>1000</v>
      </c>
      <c r="AU2">
        <v>2000</v>
      </c>
      <c r="AW2" t="s">
        <v>1</v>
      </c>
      <c r="AX2">
        <v>0</v>
      </c>
      <c r="AY2">
        <v>250</v>
      </c>
      <c r="AZ2">
        <v>500</v>
      </c>
      <c r="BA2">
        <v>750</v>
      </c>
      <c r="BB2">
        <v>1000</v>
      </c>
      <c r="BC2">
        <v>2000</v>
      </c>
      <c r="BE2" t="s">
        <v>1</v>
      </c>
      <c r="BF2">
        <v>0</v>
      </c>
      <c r="BG2">
        <v>250</v>
      </c>
      <c r="BH2">
        <v>500</v>
      </c>
      <c r="BI2">
        <v>750</v>
      </c>
      <c r="BJ2">
        <v>1000</v>
      </c>
      <c r="BK2">
        <v>2000</v>
      </c>
    </row>
    <row r="3" spans="1:64" x14ac:dyDescent="0.2">
      <c r="A3">
        <v>0</v>
      </c>
      <c r="B3" s="1"/>
      <c r="C3" s="1"/>
      <c r="D3" s="1"/>
      <c r="E3" s="1"/>
      <c r="F3" s="1"/>
      <c r="G3" s="1"/>
      <c r="I3">
        <v>0</v>
      </c>
      <c r="J3" s="1">
        <v>0</v>
      </c>
      <c r="K3" s="1">
        <v>0.02</v>
      </c>
      <c r="L3" s="1">
        <v>1.24</v>
      </c>
      <c r="M3" s="1">
        <v>3.7</v>
      </c>
      <c r="N3" s="1">
        <v>7.4</v>
      </c>
      <c r="O3" s="1">
        <v>12.36</v>
      </c>
      <c r="Q3">
        <v>0</v>
      </c>
      <c r="R3" s="1">
        <v>0</v>
      </c>
      <c r="S3" s="1">
        <v>0</v>
      </c>
      <c r="T3" s="1">
        <v>1.181</v>
      </c>
      <c r="U3" s="1">
        <v>3.633</v>
      </c>
      <c r="V3" s="1">
        <v>7.36</v>
      </c>
      <c r="W3" s="1">
        <v>12.38</v>
      </c>
      <c r="Y3">
        <v>0</v>
      </c>
      <c r="Z3" s="1">
        <v>0</v>
      </c>
      <c r="AA3" s="1">
        <v>0</v>
      </c>
      <c r="AB3" s="1">
        <v>1.196</v>
      </c>
      <c r="AC3" s="1">
        <v>3.67</v>
      </c>
      <c r="AD3" s="1">
        <v>7.4</v>
      </c>
      <c r="AE3" s="1">
        <v>12.37</v>
      </c>
      <c r="AG3">
        <v>0</v>
      </c>
      <c r="AH3" s="1">
        <v>0</v>
      </c>
      <c r="AI3" s="1">
        <v>0</v>
      </c>
      <c r="AJ3" s="1">
        <v>1.21</v>
      </c>
      <c r="AK3" s="1">
        <v>3.68</v>
      </c>
      <c r="AL3" s="1">
        <v>7.42</v>
      </c>
      <c r="AM3" s="1">
        <v>12.39</v>
      </c>
      <c r="AO3">
        <v>0</v>
      </c>
      <c r="AP3" s="1">
        <v>0</v>
      </c>
      <c r="AQ3" s="1">
        <v>0</v>
      </c>
      <c r="AR3" s="1">
        <v>1.22</v>
      </c>
      <c r="AS3" s="1">
        <v>3.7</v>
      </c>
      <c r="AT3" s="1">
        <v>7.41</v>
      </c>
      <c r="AU3" s="1">
        <v>0</v>
      </c>
      <c r="AW3">
        <v>0</v>
      </c>
      <c r="AX3" s="1">
        <v>0</v>
      </c>
      <c r="AY3" s="1">
        <v>0</v>
      </c>
      <c r="AZ3" s="1">
        <v>1.22</v>
      </c>
      <c r="BA3" s="1">
        <v>3.71</v>
      </c>
      <c r="BB3" s="1">
        <v>7.43</v>
      </c>
      <c r="BC3" s="1">
        <v>12.42</v>
      </c>
      <c r="BE3">
        <v>0</v>
      </c>
      <c r="BF3" s="1">
        <v>0</v>
      </c>
      <c r="BG3" s="1">
        <v>0</v>
      </c>
      <c r="BH3" s="1">
        <v>1.1599999999999999</v>
      </c>
      <c r="BI3" s="1">
        <v>3.62</v>
      </c>
      <c r="BJ3" s="1">
        <v>7.33</v>
      </c>
      <c r="BK3" s="1">
        <v>12.29</v>
      </c>
    </row>
    <row r="4" spans="1:64" x14ac:dyDescent="0.2">
      <c r="A4">
        <v>1</v>
      </c>
      <c r="B4" s="1"/>
      <c r="C4" s="1"/>
      <c r="D4" s="1"/>
      <c r="E4" s="1"/>
      <c r="F4" s="1"/>
      <c r="G4" s="1"/>
      <c r="I4">
        <v>1</v>
      </c>
      <c r="J4" s="1">
        <v>0</v>
      </c>
      <c r="K4" s="1">
        <v>0.2</v>
      </c>
      <c r="L4" s="1">
        <v>1.74</v>
      </c>
      <c r="M4" s="1">
        <v>4.3</v>
      </c>
      <c r="N4" s="1">
        <v>8.1999999999999993</v>
      </c>
      <c r="O4" s="1">
        <v>14.5</v>
      </c>
      <c r="Q4">
        <v>1</v>
      </c>
      <c r="R4" s="1">
        <v>0</v>
      </c>
      <c r="S4" s="1">
        <v>0.189</v>
      </c>
      <c r="T4" s="1">
        <v>1.65</v>
      </c>
      <c r="U4" s="1">
        <v>4.33</v>
      </c>
      <c r="V4" s="1">
        <v>8.3000000000000007</v>
      </c>
      <c r="W4" s="1">
        <v>13.83</v>
      </c>
      <c r="Y4">
        <v>1</v>
      </c>
      <c r="Z4" s="1">
        <v>0</v>
      </c>
      <c r="AA4" s="1">
        <v>0.21</v>
      </c>
      <c r="AB4" s="1">
        <v>1.7</v>
      </c>
      <c r="AC4" s="1">
        <v>4.4000000000000004</v>
      </c>
      <c r="AD4" s="1">
        <v>8.3699999999999992</v>
      </c>
      <c r="AE4" s="1">
        <v>14.3</v>
      </c>
      <c r="AG4">
        <v>1</v>
      </c>
      <c r="AH4" s="1">
        <v>0</v>
      </c>
      <c r="AI4" s="1">
        <v>0.21</v>
      </c>
      <c r="AJ4" s="1">
        <v>1.69</v>
      </c>
      <c r="AK4" s="1">
        <v>4.4000000000000004</v>
      </c>
      <c r="AL4" s="1">
        <v>8.3800000000000008</v>
      </c>
      <c r="AM4" s="1">
        <v>14.38</v>
      </c>
      <c r="AO4">
        <v>1</v>
      </c>
      <c r="AP4" s="1">
        <v>0</v>
      </c>
      <c r="AQ4" s="1">
        <v>0.21</v>
      </c>
      <c r="AR4" s="1">
        <v>1.69</v>
      </c>
      <c r="AS4" s="1">
        <v>4.4000000000000004</v>
      </c>
      <c r="AT4" s="1">
        <v>8.35</v>
      </c>
      <c r="AU4" s="1">
        <v>1.98</v>
      </c>
      <c r="AW4">
        <v>1</v>
      </c>
      <c r="AX4" s="1">
        <v>0</v>
      </c>
      <c r="AY4" s="1">
        <v>2.2000000000000002</v>
      </c>
      <c r="AZ4" s="1">
        <v>1.69</v>
      </c>
      <c r="BA4" s="1">
        <v>4.4000000000000004</v>
      </c>
      <c r="BB4" s="1">
        <v>8.3000000000000007</v>
      </c>
      <c r="BC4" s="1">
        <v>14.37</v>
      </c>
      <c r="BE4">
        <v>1</v>
      </c>
      <c r="BF4" s="1">
        <v>0</v>
      </c>
      <c r="BG4" s="1">
        <v>0.17</v>
      </c>
      <c r="BH4" s="1">
        <v>1.64</v>
      </c>
      <c r="BI4" s="1">
        <v>4.32</v>
      </c>
      <c r="BJ4" s="1">
        <v>8.2799999999999994</v>
      </c>
      <c r="BK4" s="1">
        <v>14.24</v>
      </c>
    </row>
    <row r="5" spans="1:64" x14ac:dyDescent="0.2">
      <c r="A5">
        <v>2</v>
      </c>
      <c r="B5" s="1"/>
      <c r="C5" s="1"/>
      <c r="D5" s="1"/>
      <c r="E5" s="1"/>
      <c r="F5" s="1"/>
      <c r="G5" s="1"/>
      <c r="I5">
        <v>2</v>
      </c>
      <c r="J5" s="1">
        <v>0</v>
      </c>
      <c r="K5" s="1">
        <v>0.42</v>
      </c>
      <c r="L5" s="1">
        <v>2.23</v>
      </c>
      <c r="M5" s="1">
        <v>5</v>
      </c>
      <c r="N5" s="1">
        <v>9.3000000000000007</v>
      </c>
      <c r="O5" s="1">
        <v>16.420000000000002</v>
      </c>
      <c r="Q5">
        <v>2</v>
      </c>
      <c r="R5" s="1">
        <v>0</v>
      </c>
      <c r="S5" s="1">
        <v>0.435</v>
      </c>
      <c r="T5" s="1">
        <v>2.14</v>
      </c>
      <c r="U5" s="1">
        <v>5.07</v>
      </c>
      <c r="V5" s="1">
        <v>9.3000000000000007</v>
      </c>
      <c r="W5" s="1">
        <v>15.35</v>
      </c>
      <c r="Y5">
        <v>2</v>
      </c>
      <c r="Z5" s="1">
        <v>0</v>
      </c>
      <c r="AA5" s="1">
        <v>0.44500000000000001</v>
      </c>
      <c r="AB5" s="1">
        <v>2.1800000000000002</v>
      </c>
      <c r="AC5" s="1">
        <v>5.14</v>
      </c>
      <c r="AD5" s="1">
        <v>9.3699999999999992</v>
      </c>
      <c r="AE5" s="1">
        <v>16.3</v>
      </c>
      <c r="AG5">
        <v>2</v>
      </c>
      <c r="AH5" s="1">
        <v>0</v>
      </c>
      <c r="AI5" s="1">
        <v>0.46</v>
      </c>
      <c r="AJ5" s="1">
        <v>2.1850000000000001</v>
      </c>
      <c r="AK5" s="1">
        <v>5.15</v>
      </c>
      <c r="AL5" s="1">
        <v>9.3800000000000008</v>
      </c>
      <c r="AM5" s="1">
        <v>16.39</v>
      </c>
      <c r="AO5">
        <v>2</v>
      </c>
      <c r="AP5" s="1">
        <v>0</v>
      </c>
      <c r="AQ5" s="1">
        <v>0.45100000000000001</v>
      </c>
      <c r="AR5" s="1">
        <v>2.1829999999999998</v>
      </c>
      <c r="AS5" s="1">
        <v>5.14</v>
      </c>
      <c r="AT5" s="1">
        <v>9.35</v>
      </c>
      <c r="AU5" s="1">
        <v>3.98</v>
      </c>
      <c r="AW5">
        <v>2</v>
      </c>
      <c r="AX5" s="1">
        <v>0</v>
      </c>
      <c r="AY5" s="1">
        <v>0.47</v>
      </c>
      <c r="AZ5" s="1">
        <v>2.19</v>
      </c>
      <c r="BA5" s="1">
        <v>5.12</v>
      </c>
      <c r="BB5" s="1">
        <v>9.4</v>
      </c>
      <c r="BC5" s="1">
        <v>16.36</v>
      </c>
      <c r="BE5">
        <v>2</v>
      </c>
      <c r="BF5" s="1">
        <v>0</v>
      </c>
      <c r="BG5" s="1">
        <v>0.42</v>
      </c>
      <c r="BH5" s="1">
        <v>2.13</v>
      </c>
      <c r="BI5" s="1">
        <v>5.07</v>
      </c>
      <c r="BJ5" s="1">
        <v>9.2799999999999994</v>
      </c>
      <c r="BK5" s="1">
        <v>16.25</v>
      </c>
    </row>
    <row r="6" spans="1:64" x14ac:dyDescent="0.2">
      <c r="A6">
        <v>3</v>
      </c>
      <c r="B6" s="1"/>
      <c r="C6" s="1"/>
      <c r="D6" s="1"/>
      <c r="E6" s="1"/>
      <c r="F6" s="1"/>
      <c r="G6" s="1"/>
      <c r="I6">
        <v>3</v>
      </c>
      <c r="J6" s="1">
        <v>1.7999999999999999E-2</v>
      </c>
      <c r="K6" s="1">
        <v>0.6</v>
      </c>
      <c r="L6" s="1">
        <v>2.7</v>
      </c>
      <c r="M6" s="1">
        <v>5.8</v>
      </c>
      <c r="N6" s="1">
        <v>10.3</v>
      </c>
      <c r="O6" s="1">
        <v>18.45</v>
      </c>
      <c r="Q6">
        <v>3</v>
      </c>
      <c r="R6" s="1">
        <v>0</v>
      </c>
      <c r="S6" s="1">
        <v>0.67500000000000004</v>
      </c>
      <c r="T6" s="1">
        <v>2.63</v>
      </c>
      <c r="U6" s="1">
        <v>5.82</v>
      </c>
      <c r="V6" s="1">
        <v>10.31</v>
      </c>
      <c r="W6" s="1">
        <v>16.88</v>
      </c>
      <c r="Y6">
        <v>3</v>
      </c>
      <c r="Z6" s="1">
        <v>0</v>
      </c>
      <c r="AA6" s="1">
        <v>0.69</v>
      </c>
      <c r="AB6" s="1">
        <v>2.67</v>
      </c>
      <c r="AC6" s="1">
        <v>5.88</v>
      </c>
      <c r="AD6" s="1">
        <v>10.38</v>
      </c>
      <c r="AE6" s="1">
        <v>18.3</v>
      </c>
      <c r="AG6">
        <v>3</v>
      </c>
      <c r="AH6" s="1">
        <v>0</v>
      </c>
      <c r="AI6" s="1">
        <v>0.70699999999999996</v>
      </c>
      <c r="AJ6" s="1">
        <v>2.68</v>
      </c>
      <c r="AK6" s="1">
        <v>5.89</v>
      </c>
      <c r="AL6" s="1">
        <v>10.38</v>
      </c>
      <c r="AM6" s="1">
        <v>18.38</v>
      </c>
      <c r="AO6">
        <v>3</v>
      </c>
      <c r="AP6" s="1">
        <v>0</v>
      </c>
      <c r="AQ6" s="1">
        <v>0.7</v>
      </c>
      <c r="AR6" s="1">
        <v>2.68</v>
      </c>
      <c r="AS6" s="1">
        <v>5.88</v>
      </c>
      <c r="AT6" s="1">
        <v>10.35</v>
      </c>
      <c r="AU6" s="1">
        <v>5.98</v>
      </c>
      <c r="AW6">
        <v>3</v>
      </c>
      <c r="AX6" s="1">
        <v>0</v>
      </c>
      <c r="AY6" s="1">
        <v>0.72</v>
      </c>
      <c r="AZ6" s="1">
        <v>2.69</v>
      </c>
      <c r="BA6" s="1">
        <v>5.9</v>
      </c>
      <c r="BB6" s="1">
        <v>10.4</v>
      </c>
      <c r="BC6" s="1">
        <v>18.36</v>
      </c>
      <c r="BE6">
        <v>3</v>
      </c>
      <c r="BF6" s="1">
        <v>0</v>
      </c>
      <c r="BG6" s="1">
        <v>0.67</v>
      </c>
      <c r="BH6" s="1">
        <v>2.62</v>
      </c>
      <c r="BI6" s="1">
        <v>5.8</v>
      </c>
      <c r="BJ6" s="1">
        <v>10.28</v>
      </c>
      <c r="BK6" s="1">
        <v>18.239999999999998</v>
      </c>
    </row>
    <row r="7" spans="1:64" x14ac:dyDescent="0.2">
      <c r="A7">
        <v>4</v>
      </c>
      <c r="B7" s="1"/>
      <c r="C7" s="1"/>
      <c r="D7" s="1"/>
      <c r="E7" s="1"/>
      <c r="F7" s="1"/>
      <c r="G7" s="1"/>
      <c r="I7">
        <v>4</v>
      </c>
      <c r="J7" s="1">
        <v>1.7999999999999999E-2</v>
      </c>
      <c r="K7" s="1">
        <v>0.84</v>
      </c>
      <c r="L7" s="1">
        <v>3.2</v>
      </c>
      <c r="M7" s="1">
        <v>6.3</v>
      </c>
      <c r="N7" s="1">
        <v>11.27</v>
      </c>
      <c r="O7" s="1">
        <v>20.45</v>
      </c>
      <c r="Q7">
        <v>4</v>
      </c>
      <c r="R7" s="1">
        <v>0</v>
      </c>
      <c r="S7" s="1">
        <v>0.93500000000000005</v>
      </c>
      <c r="T7" s="1">
        <v>3.12</v>
      </c>
      <c r="U7" s="1">
        <v>6.55</v>
      </c>
      <c r="V7" s="1">
        <v>11.32</v>
      </c>
      <c r="W7" s="1">
        <v>18.41</v>
      </c>
      <c r="Y7">
        <v>4</v>
      </c>
      <c r="Z7" s="1">
        <v>0</v>
      </c>
      <c r="AA7" s="1">
        <v>0.94</v>
      </c>
      <c r="AB7" s="1">
        <v>3.17</v>
      </c>
      <c r="AC7" s="1">
        <v>6.62</v>
      </c>
      <c r="AD7" s="1">
        <v>11.36</v>
      </c>
      <c r="AE7" s="1">
        <v>20.3</v>
      </c>
      <c r="AG7">
        <v>4</v>
      </c>
      <c r="AH7" s="1">
        <v>0</v>
      </c>
      <c r="AI7" s="1">
        <v>0.95699999999999996</v>
      </c>
      <c r="AJ7" s="1">
        <v>3.169</v>
      </c>
      <c r="AK7" s="1">
        <v>6.64</v>
      </c>
      <c r="AL7" s="1">
        <v>11.37</v>
      </c>
      <c r="AM7" s="1">
        <v>20.37</v>
      </c>
      <c r="AO7">
        <v>4</v>
      </c>
      <c r="AP7" s="1">
        <v>0</v>
      </c>
      <c r="AQ7" s="1">
        <v>0.95</v>
      </c>
      <c r="AR7" s="1">
        <v>3.17</v>
      </c>
      <c r="AS7" s="1">
        <v>6.63</v>
      </c>
      <c r="AT7" s="1">
        <v>11.34</v>
      </c>
      <c r="AU7" s="1">
        <v>7.98</v>
      </c>
      <c r="AW7">
        <v>4</v>
      </c>
      <c r="AX7" s="1">
        <v>0</v>
      </c>
      <c r="AY7" s="1">
        <v>0.98</v>
      </c>
      <c r="AZ7" s="1">
        <v>3.19</v>
      </c>
      <c r="BA7" s="1">
        <v>6.7</v>
      </c>
      <c r="BB7" s="1">
        <v>11.4</v>
      </c>
      <c r="BC7" s="1">
        <v>20.37</v>
      </c>
      <c r="BE7">
        <v>4</v>
      </c>
      <c r="BF7" s="1">
        <v>0</v>
      </c>
      <c r="BG7" s="1">
        <v>0.91</v>
      </c>
      <c r="BH7" s="1">
        <v>3.1</v>
      </c>
      <c r="BI7" s="1">
        <v>6.54</v>
      </c>
      <c r="BJ7" s="1">
        <v>11.28</v>
      </c>
      <c r="BK7" s="1">
        <v>20.25</v>
      </c>
    </row>
    <row r="8" spans="1:64" x14ac:dyDescent="0.2">
      <c r="A8">
        <v>5</v>
      </c>
      <c r="B8" s="1"/>
      <c r="C8" s="1"/>
      <c r="D8" s="1"/>
      <c r="E8" s="1"/>
      <c r="F8" s="1"/>
      <c r="G8" s="1"/>
      <c r="I8">
        <v>5</v>
      </c>
      <c r="J8" s="1">
        <v>0.02</v>
      </c>
      <c r="K8" s="1">
        <v>1.24</v>
      </c>
      <c r="L8" s="1">
        <v>3.66</v>
      </c>
      <c r="M8" s="1">
        <v>7.3</v>
      </c>
      <c r="N8" s="1">
        <v>12.3</v>
      </c>
      <c r="O8" s="1">
        <v>22.35</v>
      </c>
      <c r="Q8">
        <v>5</v>
      </c>
      <c r="R8" s="1">
        <v>0</v>
      </c>
      <c r="S8" s="1">
        <v>1.169</v>
      </c>
      <c r="T8" s="1">
        <v>3.61</v>
      </c>
      <c r="U8" s="1">
        <v>7.33</v>
      </c>
      <c r="V8" s="1">
        <v>12.32</v>
      </c>
      <c r="W8" s="1">
        <v>19.940000000000001</v>
      </c>
      <c r="Y8">
        <v>5</v>
      </c>
      <c r="Z8" s="1">
        <v>0</v>
      </c>
      <c r="AA8" s="1">
        <v>1.1850000000000001</v>
      </c>
      <c r="AB8" s="1">
        <v>3.66</v>
      </c>
      <c r="AC8" s="1">
        <v>7.38</v>
      </c>
      <c r="AD8" s="1">
        <v>12.37</v>
      </c>
      <c r="AE8" s="1">
        <v>22.3</v>
      </c>
      <c r="AG8">
        <v>5</v>
      </c>
      <c r="AH8" s="1">
        <v>0</v>
      </c>
      <c r="AI8" s="1">
        <v>1.2</v>
      </c>
      <c r="AJ8" s="1">
        <v>3.66</v>
      </c>
      <c r="AK8" s="1">
        <v>7.4</v>
      </c>
      <c r="AL8" s="1">
        <v>12.37</v>
      </c>
      <c r="AM8" s="1">
        <v>22.38</v>
      </c>
      <c r="AO8">
        <v>5</v>
      </c>
      <c r="AP8" s="1">
        <v>0</v>
      </c>
      <c r="AQ8" s="1">
        <v>1.21</v>
      </c>
      <c r="AR8" s="1">
        <v>3.67</v>
      </c>
      <c r="AS8" s="1">
        <v>7.39</v>
      </c>
      <c r="AT8" s="1">
        <v>12.34</v>
      </c>
      <c r="AU8" s="1">
        <v>9.98</v>
      </c>
      <c r="AW8">
        <v>5</v>
      </c>
      <c r="AX8" s="1">
        <v>0</v>
      </c>
      <c r="AY8" s="1">
        <v>1.21</v>
      </c>
      <c r="AZ8" s="1">
        <v>3.6850000000000001</v>
      </c>
      <c r="BA8" s="1">
        <v>7.4</v>
      </c>
      <c r="BB8" s="1">
        <v>12.39</v>
      </c>
      <c r="BC8" s="1">
        <v>22.35</v>
      </c>
      <c r="BE8">
        <v>5</v>
      </c>
      <c r="BF8" s="1">
        <v>0</v>
      </c>
      <c r="BG8" s="1">
        <v>1.1499999999999999</v>
      </c>
      <c r="BH8" s="1">
        <v>3.6</v>
      </c>
      <c r="BI8" s="1">
        <v>7.29</v>
      </c>
      <c r="BJ8" s="1">
        <v>12.26</v>
      </c>
      <c r="BK8" s="1">
        <v>22.24</v>
      </c>
    </row>
    <row r="9" spans="1:64" x14ac:dyDescent="0.2">
      <c r="A9" t="s">
        <v>12</v>
      </c>
      <c r="B9">
        <f>AVERAGE(B3-0,B4-B3,B5-B4,B6-B5,B7-B6,B8-B7)</f>
        <v>0</v>
      </c>
      <c r="C9">
        <f>AVERAGE(C4-C3,C5-C4,C6-C5,C7-C6,C8-C7)</f>
        <v>0</v>
      </c>
      <c r="D9">
        <f>AVERAGE(D4-D3,D5-D4,D6-D5,D7-D6,D8-D7)</f>
        <v>0</v>
      </c>
      <c r="E9">
        <f>AVERAGE(E4-E3,E5-E4,E6-E5,E7-E6,E8-E7)</f>
        <v>0</v>
      </c>
      <c r="F9">
        <f>AVERAGE(F4-F3,F5-F4,F6-F5,F7-F6,F8-F7)</f>
        <v>0</v>
      </c>
      <c r="G9">
        <f>AVERAGE(G4-G3,G5-G4,G6-G5,G7-G6,G8-G7)</f>
        <v>0</v>
      </c>
      <c r="H9" t="s">
        <v>10</v>
      </c>
      <c r="I9" t="s">
        <v>12</v>
      </c>
      <c r="J9">
        <f>AVERAGE(J3-0,J4-J3,J5-J4,J6-J5,J7-J6,J8-J7)</f>
        <v>3.3333333333333335E-3</v>
      </c>
      <c r="K9">
        <f>AVERAGE(K4-K3,K5-K4,K6-K5,K7-K6,K8-K7)</f>
        <v>0.24400000000000005</v>
      </c>
      <c r="L9">
        <f>AVERAGE(L4-L3,L5-L4,L6-L5,L7-L6,L8-L7)</f>
        <v>0.48399999999999999</v>
      </c>
      <c r="M9">
        <f>AVERAGE(M4-M3,M5-M4,M6-M5,M7-M6,M8-M7)</f>
        <v>0.72</v>
      </c>
      <c r="N9">
        <f>AVERAGE(N4-N3,N5-N4,N6-N5,N7-N6,N8-N7)</f>
        <v>0.98000000000000009</v>
      </c>
      <c r="O9">
        <f>AVERAGE(O4-O3,O5-O4,O6-O5,O7-O6,O8-O7)</f>
        <v>1.9980000000000004</v>
      </c>
      <c r="P9" t="s">
        <v>10</v>
      </c>
      <c r="Q9" t="s">
        <v>12</v>
      </c>
      <c r="R9">
        <f t="shared" ref="R9:W9" si="0">AVERAGE(R4-R3,R5-R4,R6-R5,R7-R6,R8-R7)</f>
        <v>0</v>
      </c>
      <c r="S9">
        <f t="shared" si="0"/>
        <v>0.23380000000000001</v>
      </c>
      <c r="T9">
        <f t="shared" si="0"/>
        <v>0.48579999999999995</v>
      </c>
      <c r="U9">
        <f t="shared" si="0"/>
        <v>0.73940000000000006</v>
      </c>
      <c r="V9">
        <f t="shared" si="0"/>
        <v>0.99199999999999999</v>
      </c>
      <c r="W9">
        <f t="shared" si="0"/>
        <v>1.512</v>
      </c>
      <c r="X9" t="s">
        <v>10</v>
      </c>
      <c r="Y9" t="s">
        <v>12</v>
      </c>
      <c r="Z9">
        <f>AVERAGE(Z4-Z3,Z5-Z4,Z6-Z5,Z7-Z6,Z8-Z7)</f>
        <v>0</v>
      </c>
      <c r="AA9">
        <f t="shared" ref="AA9:AE9" si="1">AVERAGE(AA4-AA3,AA5-AA4,AA6-AA5,AA7-AA6,AA8-AA7)</f>
        <v>0.23700000000000002</v>
      </c>
      <c r="AB9">
        <f t="shared" si="1"/>
        <v>0.49280000000000007</v>
      </c>
      <c r="AC9">
        <f t="shared" si="1"/>
        <v>0.74199999999999999</v>
      </c>
      <c r="AD9">
        <f t="shared" si="1"/>
        <v>0.99399999999999977</v>
      </c>
      <c r="AE9">
        <f t="shared" si="1"/>
        <v>1.9860000000000002</v>
      </c>
      <c r="AF9" t="s">
        <v>10</v>
      </c>
      <c r="AG9" t="s">
        <v>12</v>
      </c>
      <c r="AH9">
        <f>AVERAGE(AH4-AH3,AH5-AH4,AH6-AH5,AH7-AH6,AH8-AH7)</f>
        <v>0</v>
      </c>
      <c r="AI9">
        <f t="shared" ref="AI9:AM9" si="2">AVERAGE(AI4-AI3,AI5-AI4,AI6-AI5,AI7-AI6,AI8-AI7)</f>
        <v>0.23999999999999994</v>
      </c>
      <c r="AJ9">
        <f t="shared" si="2"/>
        <v>0.49000000000000005</v>
      </c>
      <c r="AK9">
        <f t="shared" si="2"/>
        <v>0.74399999999999999</v>
      </c>
      <c r="AL9">
        <f t="shared" si="2"/>
        <v>0.98999999999999988</v>
      </c>
      <c r="AM9">
        <f t="shared" si="2"/>
        <v>1.9979999999999998</v>
      </c>
      <c r="AN9" t="s">
        <v>10</v>
      </c>
      <c r="AO9" t="s">
        <v>12</v>
      </c>
      <c r="AP9">
        <f>AVERAGE(AP4-AP3,AP5-AP4,AP6-AP5,AP7-AP6,AP8-AP7)</f>
        <v>0</v>
      </c>
      <c r="AQ9">
        <f t="shared" ref="AQ9:AU9" si="3">AVERAGE(AQ4-AQ3,AQ5-AQ4,AQ6-AQ5,AQ7-AQ6,AQ8-AQ7)</f>
        <v>0.24199999999999999</v>
      </c>
      <c r="AR9">
        <f t="shared" si="3"/>
        <v>0.49000000000000005</v>
      </c>
      <c r="AS9">
        <f t="shared" si="3"/>
        <v>0.73799999999999988</v>
      </c>
      <c r="AT9">
        <f t="shared" si="3"/>
        <v>0.98599999999999999</v>
      </c>
      <c r="AU9">
        <f t="shared" si="3"/>
        <v>1.996</v>
      </c>
      <c r="AV9" t="s">
        <v>10</v>
      </c>
      <c r="AW9" t="s">
        <v>12</v>
      </c>
      <c r="AX9">
        <f>AVERAGE(AX4-AX3,AX5-AX4,AX6-AX5,AX7-AX6,AX8-AX7)</f>
        <v>0</v>
      </c>
      <c r="AY9">
        <f t="shared" ref="AY9:BC9" si="4">AVERAGE(AY4-AY3,AY5-AY4,AY6-AY5,AY7-AY6,AY8-AY7)</f>
        <v>0.24199999999999999</v>
      </c>
      <c r="AZ9">
        <f t="shared" si="4"/>
        <v>0.49299999999999999</v>
      </c>
      <c r="BA9">
        <f t="shared" si="4"/>
        <v>0.7380000000000001</v>
      </c>
      <c r="BB9">
        <f t="shared" si="4"/>
        <v>0.99200000000000021</v>
      </c>
      <c r="BC9">
        <f t="shared" si="4"/>
        <v>1.9860000000000002</v>
      </c>
      <c r="BD9" t="s">
        <v>10</v>
      </c>
      <c r="BE9" t="s">
        <v>12</v>
      </c>
      <c r="BF9">
        <f>AVERAGE(BF4-BF3,BF5-BF4,BF6-BF5,BF7-BF6,BF8-BF7)</f>
        <v>0</v>
      </c>
      <c r="BG9">
        <f t="shared" ref="BG9:BK9" si="5">AVERAGE(BG4-BG3,BG5-BG4,BG6-BG5,BG7-BG6,BG8-BG7)</f>
        <v>0.22999999999999998</v>
      </c>
      <c r="BH9">
        <f t="shared" si="5"/>
        <v>0.4880000000000001</v>
      </c>
      <c r="BI9">
        <f t="shared" si="5"/>
        <v>0.73399999999999999</v>
      </c>
      <c r="BJ9">
        <f t="shared" si="5"/>
        <v>0.98599999999999999</v>
      </c>
      <c r="BK9">
        <f t="shared" si="5"/>
        <v>1.9899999999999998</v>
      </c>
      <c r="BL9" t="s">
        <v>10</v>
      </c>
    </row>
    <row r="10" spans="1:64" x14ac:dyDescent="0.2">
      <c r="A10" t="s">
        <v>13</v>
      </c>
      <c r="B10" s="2">
        <f>B9*0.997</f>
        <v>0</v>
      </c>
      <c r="C10" s="2">
        <f t="shared" ref="C10:F10" si="6">C9*0.997</f>
        <v>0</v>
      </c>
      <c r="D10" s="2">
        <f t="shared" si="6"/>
        <v>0</v>
      </c>
      <c r="E10" s="2">
        <f t="shared" si="6"/>
        <v>0</v>
      </c>
      <c r="F10" s="2">
        <f t="shared" si="6"/>
        <v>0</v>
      </c>
      <c r="G10" s="2">
        <f>G9*0.997</f>
        <v>0</v>
      </c>
      <c r="H10" t="s">
        <v>11</v>
      </c>
      <c r="I10" t="s">
        <v>13</v>
      </c>
      <c r="J10" s="2">
        <f>J9*0.997</f>
        <v>3.3233333333333335E-3</v>
      </c>
      <c r="K10" s="2">
        <f t="shared" ref="K10" si="7">K9*0.997</f>
        <v>0.24326800000000004</v>
      </c>
      <c r="L10" s="2">
        <f t="shared" ref="L10" si="8">L9*0.997</f>
        <v>0.48254799999999998</v>
      </c>
      <c r="M10" s="2">
        <f t="shared" ref="M10" si="9">M9*0.997</f>
        <v>0.71783999999999992</v>
      </c>
      <c r="N10" s="2">
        <f t="shared" ref="N10" si="10">N9*0.997</f>
        <v>0.97706000000000004</v>
      </c>
      <c r="O10" s="2">
        <f>O9*0.997</f>
        <v>1.9920060000000004</v>
      </c>
      <c r="P10" t="s">
        <v>11</v>
      </c>
      <c r="Q10" t="s">
        <v>13</v>
      </c>
      <c r="R10" s="2">
        <f>R9*0.997</f>
        <v>0</v>
      </c>
      <c r="S10" s="2">
        <f t="shared" ref="S10" si="11">S9*0.997</f>
        <v>0.23309860000000002</v>
      </c>
      <c r="T10" s="2">
        <f t="shared" ref="T10" si="12">T9*0.997</f>
        <v>0.48434259999999996</v>
      </c>
      <c r="U10" s="2">
        <f t="shared" ref="U10" si="13">U9*0.997</f>
        <v>0.73718180000000011</v>
      </c>
      <c r="V10" s="2">
        <f t="shared" ref="V10" si="14">V9*0.997</f>
        <v>0.98902400000000001</v>
      </c>
      <c r="W10" s="2">
        <f>W9*0.997</f>
        <v>1.5074639999999999</v>
      </c>
      <c r="X10" t="s">
        <v>11</v>
      </c>
      <c r="Y10" t="s">
        <v>13</v>
      </c>
      <c r="Z10" s="2">
        <f>Z9*0.997</f>
        <v>0</v>
      </c>
      <c r="AA10" s="2">
        <f t="shared" ref="AA10" si="15">AA9*0.997</f>
        <v>0.23628900000000003</v>
      </c>
      <c r="AB10" s="2">
        <f t="shared" ref="AB10" si="16">AB9*0.997</f>
        <v>0.49132160000000008</v>
      </c>
      <c r="AC10" s="2">
        <f t="shared" ref="AC10" si="17">AC9*0.997</f>
        <v>0.73977400000000004</v>
      </c>
      <c r="AD10" s="2">
        <f t="shared" ref="AD10" si="18">AD9*0.997</f>
        <v>0.99101799999999973</v>
      </c>
      <c r="AE10" s="2">
        <f>AE9*0.997</f>
        <v>1.9800420000000003</v>
      </c>
      <c r="AF10" t="s">
        <v>11</v>
      </c>
      <c r="AG10" t="s">
        <v>13</v>
      </c>
      <c r="AH10" s="2">
        <f>AH9*0.997</f>
        <v>0</v>
      </c>
      <c r="AI10" s="2">
        <f t="shared" ref="AI10" si="19">AI9*0.997</f>
        <v>0.23927999999999994</v>
      </c>
      <c r="AJ10" s="2">
        <f t="shared" ref="AJ10" si="20">AJ9*0.997</f>
        <v>0.48853000000000002</v>
      </c>
      <c r="AK10" s="2">
        <f t="shared" ref="AK10" si="21">AK9*0.997</f>
        <v>0.74176799999999998</v>
      </c>
      <c r="AL10" s="2">
        <f t="shared" ref="AL10" si="22">AL9*0.997</f>
        <v>0.98702999999999985</v>
      </c>
      <c r="AM10" s="2">
        <f>AM9*0.997</f>
        <v>1.9920059999999997</v>
      </c>
      <c r="AN10" t="s">
        <v>11</v>
      </c>
      <c r="AO10" t="s">
        <v>13</v>
      </c>
      <c r="AP10" s="2">
        <f>AP9*0.997</f>
        <v>0</v>
      </c>
      <c r="AQ10" s="2">
        <f t="shared" ref="AQ10" si="23">AQ9*0.997</f>
        <v>0.24127399999999999</v>
      </c>
      <c r="AR10" s="2">
        <f t="shared" ref="AR10" si="24">AR9*0.997</f>
        <v>0.48853000000000002</v>
      </c>
      <c r="AS10" s="2">
        <f t="shared" ref="AS10" si="25">AS9*0.997</f>
        <v>0.73578599999999983</v>
      </c>
      <c r="AT10" s="2">
        <f t="shared" ref="AT10" si="26">AT9*0.997</f>
        <v>0.98304199999999997</v>
      </c>
      <c r="AU10" s="2">
        <f>AU9*0.997</f>
        <v>1.9900119999999999</v>
      </c>
      <c r="AV10" t="s">
        <v>11</v>
      </c>
      <c r="AW10" t="s">
        <v>13</v>
      </c>
      <c r="AX10" s="2">
        <f>AX9*0.997</f>
        <v>0</v>
      </c>
      <c r="AY10" s="2">
        <f t="shared" ref="AY10" si="27">AY9*0.997</f>
        <v>0.24127399999999999</v>
      </c>
      <c r="AZ10" s="2">
        <f t="shared" ref="AZ10" si="28">AZ9*0.997</f>
        <v>0.49152099999999999</v>
      </c>
      <c r="BA10" s="2">
        <f t="shared" ref="BA10" si="29">BA9*0.997</f>
        <v>0.73578600000000005</v>
      </c>
      <c r="BB10" s="2">
        <f t="shared" ref="BB10" si="30">BB9*0.997</f>
        <v>0.98902400000000024</v>
      </c>
      <c r="BC10" s="2">
        <f>BC9*0.997</f>
        <v>1.9800420000000003</v>
      </c>
      <c r="BD10" t="s">
        <v>11</v>
      </c>
      <c r="BE10" t="s">
        <v>13</v>
      </c>
      <c r="BF10" s="2">
        <f>BF9*0.997</f>
        <v>0</v>
      </c>
      <c r="BG10" s="2">
        <f t="shared" ref="BG10" si="31">BG9*0.997</f>
        <v>0.22930999999999999</v>
      </c>
      <c r="BH10" s="2">
        <f t="shared" ref="BH10" si="32">BH9*0.997</f>
        <v>0.48653600000000008</v>
      </c>
      <c r="BI10" s="2">
        <f t="shared" ref="BI10" si="33">BI9*0.997</f>
        <v>0.73179799999999995</v>
      </c>
      <c r="BJ10" s="2">
        <f t="shared" ref="BJ10" si="34">BJ9*0.997</f>
        <v>0.98304199999999997</v>
      </c>
      <c r="BK10" s="2">
        <f>BK9*0.997</f>
        <v>1.9840299999999997</v>
      </c>
      <c r="BL10" t="s">
        <v>11</v>
      </c>
    </row>
    <row r="12" spans="1:64" x14ac:dyDescent="0.2">
      <c r="A12" s="3"/>
      <c r="I12" s="3" t="s">
        <v>14</v>
      </c>
      <c r="Q12" s="3" t="s">
        <v>15</v>
      </c>
      <c r="Y12" s="3" t="s">
        <v>16</v>
      </c>
      <c r="AG12" s="3" t="s">
        <v>17</v>
      </c>
      <c r="AO12" s="3" t="s">
        <v>18</v>
      </c>
      <c r="AW12" s="3" t="s">
        <v>19</v>
      </c>
      <c r="BE12" s="3" t="s">
        <v>20</v>
      </c>
    </row>
  </sheetData>
  <mergeCells count="8">
    <mergeCell ref="BF1:BK1"/>
    <mergeCell ref="B1:G1"/>
    <mergeCell ref="J1:O1"/>
    <mergeCell ref="R1:W1"/>
    <mergeCell ref="Z1:AE1"/>
    <mergeCell ref="AH1:AM1"/>
    <mergeCell ref="AP1:AU1"/>
    <mergeCell ref="AX1:BC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3024366582753254</dc:creator>
  <cp:lastModifiedBy>TU-Pseudonym 3024366582753254</cp:lastModifiedBy>
  <dcterms:created xsi:type="dcterms:W3CDTF">2026-09-28T14:49:44Z</dcterms:created>
  <dcterms:modified xsi:type="dcterms:W3CDTF">2026-09-30T10:15:44Z</dcterms:modified>
</cp:coreProperties>
</file>